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<sst xmlns="http://schemas.openxmlformats.org/spreadsheetml/2006/main" count="528" uniqueCount="129">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</sst>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DATE(2026,10,30)</f>
        <v>46325.0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DATE(2026,10,30)</f>
        <v>46325.0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1021230.0</f>
        <v>1021230.0</v>
      </c>
      <c r="E12" s="18" t="n">
        <f>39095.0</f>
        <v>39095.0</v>
      </c>
      <c r="F12" s="19" t="n">
        <f>1.0</f>
        <v>1.0</v>
      </c>
      <c r="G12" s="17" t="n">
        <f>6395949428256.0</f>
        <v>6.395949428256E12</v>
      </c>
      <c r="H12" s="18" t="n">
        <f>399824398281.0</f>
        <v>3.99824398281E11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637958.0</f>
        <v>637958.0</v>
      </c>
      <c r="E13" s="22" t="n">
        <f>23379.0</f>
        <v>23379.0</v>
      </c>
      <c r="F13" s="23" t="n">
        <f>1.0</f>
        <v>1.0</v>
      </c>
      <c r="G13" s="21" t="n">
        <f>6176365397270.0</f>
        <v>6.17636539727E12</v>
      </c>
      <c r="H13" s="22" t="n">
        <f>391131217320.0</f>
        <v>3.9113121732E11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652774.0</f>
        <v>652774.0</v>
      </c>
      <c r="E14" s="22" t="n">
        <f>29303.0</f>
        <v>29303.0</v>
      </c>
      <c r="F14" s="23" t="n">
        <f>1.0</f>
        <v>1.0</v>
      </c>
      <c r="G14" s="21" t="n">
        <f>7301790063358.0</f>
        <v>7.301790063358E12</v>
      </c>
      <c r="H14" s="22" t="n">
        <f>890046191583.0</f>
        <v>8.90046191583E11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2311962.0</f>
        <v>2311962.0</v>
      </c>
      <c r="E15" s="26" t="n">
        <f>91777.0</f>
        <v>91777.0</v>
      </c>
      <c r="F15" s="27" t="n">
        <f>1.0</f>
        <v>1.0</v>
      </c>
      <c r="G15" s="25" t="n">
        <f>19874104888884.0</f>
        <v>1.9874104888884E13</v>
      </c>
      <c r="H15" s="26" t="n">
        <f>1681001807184.0</f>
        <v>1.681001807184E12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16192.0</f>
        <v>16192.0</v>
      </c>
      <c r="E16" s="18" t="n">
        <f>985.0</f>
        <v>985.0</v>
      </c>
      <c r="F16" s="19" t="n">
        <f>0.016</f>
        <v>0.016</v>
      </c>
      <c r="G16" s="17" t="n">
        <f>1941866611875.0</f>
        <v>1.941866611875E12</v>
      </c>
      <c r="H16" s="18" t="n">
        <f>124337040000.0</f>
        <v>1.2433704E11</v>
      </c>
      <c r="I16" s="19" t="n">
        <f>0.304</f>
        <v>0.304</v>
      </c>
    </row>
    <row r="17" spans="1:9" ht="24.9" customHeight="1">
      <c r="A17" s="41"/>
      <c r="B17" s="39"/>
      <c r="C17" s="20" t="s">
        <v>16</v>
      </c>
      <c r="D17" s="21" t="n">
        <f>25720.0</f>
        <v>25720.0</v>
      </c>
      <c r="E17" s="22" t="n">
        <f>4212.0</f>
        <v>4212.0</v>
      </c>
      <c r="F17" s="23" t="n">
        <f>0.04</f>
        <v>0.04</v>
      </c>
      <c r="G17" s="21" t="n">
        <f>2495051656500.0</f>
        <v>2.4950516565E12</v>
      </c>
      <c r="H17" s="22" t="n">
        <f>166353978750.0</f>
        <v>1.6635397875E11</v>
      </c>
      <c r="I17" s="23" t="n">
        <f>0.404</f>
        <v>0.404</v>
      </c>
    </row>
    <row r="18" spans="1:9" ht="24.9" customHeight="1">
      <c r="A18" s="41"/>
      <c r="B18" s="39"/>
      <c r="C18" s="20" t="s">
        <v>17</v>
      </c>
      <c r="D18" s="21" t="n">
        <f>23472.0</f>
        <v>23472.0</v>
      </c>
      <c r="E18" s="22" t="n">
        <f>1682.0</f>
        <v>1682.0</v>
      </c>
      <c r="F18" s="23" t="n">
        <f>0.036</f>
        <v>0.036</v>
      </c>
      <c r="G18" s="21" t="n">
        <f>2268777966875.0</f>
        <v>2.268777966875E12</v>
      </c>
      <c r="H18" s="22" t="n">
        <f>213096190000.0</f>
        <v>2.1309619E11</v>
      </c>
      <c r="I18" s="23" t="n">
        <f>0.311</f>
        <v>0.311</v>
      </c>
    </row>
    <row r="19" spans="1:9" ht="24.9" customHeight="1">
      <c r="A19" s="41"/>
      <c r="B19" s="39"/>
      <c r="C19" s="24" t="s">
        <v>18</v>
      </c>
      <c r="D19" s="25" t="n">
        <f>65384.0</f>
        <v>65384.0</v>
      </c>
      <c r="E19" s="26" t="n">
        <f>6879.0</f>
        <v>6879.0</v>
      </c>
      <c r="F19" s="27" t="n">
        <f>0.028</f>
        <v>0.028</v>
      </c>
      <c r="G19" s="25" t="n">
        <f>6705696235250.0</f>
        <v>6.70569623525E12</v>
      </c>
      <c r="H19" s="26" t="n">
        <f>503787208750.0</f>
        <v>5.0378720875E11</v>
      </c>
      <c r="I19" s="27" t="n">
        <f>0.337</f>
        <v>0.337</v>
      </c>
    </row>
    <row r="20" spans="1:9" ht="24.9" customHeight="1">
      <c r="A20" s="41"/>
      <c r="B20" s="39" t="s">
        <v>21</v>
      </c>
      <c r="C20" s="16" t="s">
        <v>15</v>
      </c>
      <c r="D20" s="17" t="n">
        <f>995388.0</f>
        <v>995388.0</v>
      </c>
      <c r="E20" s="18" t="n">
        <f>37710.0</f>
        <v>37710.0</v>
      </c>
      <c r="F20" s="19" t="n">
        <f>0.975</f>
        <v>0.975</v>
      </c>
      <c r="G20" s="17" t="n">
        <f>4361524605881.0</f>
        <v>4.361524605881E12</v>
      </c>
      <c r="H20" s="18" t="n">
        <f>274717894281.0</f>
        <v>2.74717894281E11</v>
      </c>
      <c r="I20" s="19" t="n">
        <f>0.682</f>
        <v>0.682</v>
      </c>
    </row>
    <row r="21" spans="1:9" ht="24.9" customHeight="1">
      <c r="A21" s="41"/>
      <c r="B21" s="39"/>
      <c r="C21" s="20" t="s">
        <v>16</v>
      </c>
      <c r="D21" s="21" t="n">
        <f>604973.0</f>
        <v>604973.0</v>
      </c>
      <c r="E21" s="22" t="n">
        <f>19167.0</f>
        <v>19167.0</v>
      </c>
      <c r="F21" s="23" t="n">
        <f>0.948</f>
        <v>0.948</v>
      </c>
      <c r="G21" s="21" t="n">
        <f>3605399436270.0</f>
        <v>3.60539943627E12</v>
      </c>
      <c r="H21" s="22" t="n">
        <f>224777238570.0</f>
        <v>2.2477723857E11</v>
      </c>
      <c r="I21" s="23" t="n">
        <f>0.584</f>
        <v>0.584</v>
      </c>
    </row>
    <row r="22" spans="1:9" ht="24.9" customHeight="1">
      <c r="A22" s="41"/>
      <c r="B22" s="39"/>
      <c r="C22" s="20" t="s">
        <v>17</v>
      </c>
      <c r="D22" s="21" t="n">
        <f>616889.0</f>
        <v>616889.0</v>
      </c>
      <c r="E22" s="22" t="n">
        <f>27321.0</f>
        <v>27321.0</v>
      </c>
      <c r="F22" s="23" t="n">
        <f>0.945</f>
        <v>0.945</v>
      </c>
      <c r="G22" s="21" t="n">
        <f>4949141414233.0</f>
        <v>4.949141414233E12</v>
      </c>
      <c r="H22" s="22" t="n">
        <f>676350661583.0</f>
        <v>6.76350661583E11</v>
      </c>
      <c r="I22" s="23" t="n">
        <f>0.678</f>
        <v>0.678</v>
      </c>
    </row>
    <row r="23" spans="1:9" ht="24.9" customHeight="1">
      <c r="A23" s="41"/>
      <c r="B23" s="39"/>
      <c r="C23" s="24" t="s">
        <v>18</v>
      </c>
      <c r="D23" s="25" t="n">
        <f>2217250.0</f>
        <v>2217250.0</v>
      </c>
      <c r="E23" s="26" t="n">
        <f>84198.0</f>
        <v>84198.0</v>
      </c>
      <c r="F23" s="27" t="n">
        <f>0.959</f>
        <v>0.959</v>
      </c>
      <c r="G23" s="25" t="n">
        <f>12916065456384.0</f>
        <v>1.2916065456384E13</v>
      </c>
      <c r="H23" s="26" t="n">
        <f>1175845794434.0</f>
        <v>1.175845794434E12</v>
      </c>
      <c r="I23" s="27" t="n">
        <f>0.65</f>
        <v>0.65</v>
      </c>
    </row>
    <row r="24" spans="1:9" ht="24.9" customHeight="1">
      <c r="A24" s="41"/>
      <c r="B24" s="39" t="s">
        <v>22</v>
      </c>
      <c r="C24" s="16" t="s">
        <v>15</v>
      </c>
      <c r="D24" s="17" t="n">
        <f>9042.0</f>
        <v>9042.0</v>
      </c>
      <c r="E24" s="18" t="n">
        <f>0.0</f>
        <v>0.0</v>
      </c>
      <c r="F24" s="19" t="n">
        <f>0.009</f>
        <v>0.009</v>
      </c>
      <c r="G24" s="17" t="n">
        <f>90744338500.0</f>
        <v>9.07443385E10</v>
      </c>
      <c r="H24" s="18" t="n">
        <f>0.0</f>
        <v>0.0</v>
      </c>
      <c r="I24" s="19" t="n">
        <f>0.014</f>
        <v>0.014</v>
      </c>
    </row>
    <row r="25" spans="1:9" ht="24.9" customHeight="1">
      <c r="A25" s="41"/>
      <c r="B25" s="39"/>
      <c r="C25" s="20" t="s">
        <v>16</v>
      </c>
      <c r="D25" s="21" t="n">
        <f>7056.0</f>
        <v>7056.0</v>
      </c>
      <c r="E25" s="22" t="n">
        <f>0.0</f>
        <v>0.0</v>
      </c>
      <c r="F25" s="23" t="n">
        <f>0.011</f>
        <v>0.011</v>
      </c>
      <c r="G25" s="21" t="n">
        <f>74857837000.0</f>
        <v>7.4857837E10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10835.0</f>
        <v>10835.0</v>
      </c>
      <c r="E26" s="22" t="n">
        <f>0.0</f>
        <v>0.0</v>
      </c>
      <c r="F26" s="23" t="n">
        <f>0.017</f>
        <v>0.017</v>
      </c>
      <c r="G26" s="21" t="n">
        <f>76781415750.0</f>
        <v>7.678141575E10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26933.0</f>
        <v>26933.0</v>
      </c>
      <c r="E27" s="26" t="n">
        <f>0.0</f>
        <v>0.0</v>
      </c>
      <c r="F27" s="27" t="n">
        <f>0.012</f>
        <v>0.012</v>
      </c>
      <c r="G27" s="25" t="n">
        <f>242383591250.0</f>
        <v>2.4238359125E11</v>
      </c>
      <c r="H27" s="26" t="n">
        <f>0.0</f>
        <v>0.0</v>
      </c>
      <c r="I27" s="27" t="n">
        <f>0.012</f>
        <v>0.012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608.0</f>
        <v>608.0</v>
      </c>
      <c r="E28" s="18" t="n">
        <f>400.0</f>
        <v>400.0</v>
      </c>
      <c r="F28" s="19" t="n">
        <f>0.001</f>
        <v>0.001</v>
      </c>
      <c r="G28" s="17" t="n">
        <f>1813872000.0</f>
        <v>1.813872E9</v>
      </c>
      <c r="H28" s="18" t="n">
        <f>769464000.0</f>
        <v>7.69464E8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209.0</f>
        <v>209.0</v>
      </c>
      <c r="E29" s="22" t="n">
        <f>0.0</f>
        <v>0.0</v>
      </c>
      <c r="F29" s="23" t="n">
        <f>0.0</f>
        <v>0.0</v>
      </c>
      <c r="G29" s="21" t="n">
        <f>1056467500.0</f>
        <v>1.0564675E9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1578.0</f>
        <v>1578.0</v>
      </c>
      <c r="E30" s="22" t="n">
        <f>300.0</f>
        <v>300.0</v>
      </c>
      <c r="F30" s="23" t="n">
        <f>0.002</f>
        <v>0.002</v>
      </c>
      <c r="G30" s="21" t="n">
        <f>7089266500.0</f>
        <v>7.0892665E9</v>
      </c>
      <c r="H30" s="22" t="n">
        <f>599340000.0</f>
        <v>5.9934E8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2395.0</f>
        <v>2395.0</v>
      </c>
      <c r="E31" s="26" t="n">
        <f>700.0</f>
        <v>700.0</v>
      </c>
      <c r="F31" s="27" t="n">
        <f>0.001</f>
        <v>0.001</v>
      </c>
      <c r="G31" s="25" t="n">
        <f>9959606000.0</f>
        <v>9.959606E9</v>
      </c>
      <c r="H31" s="26" t="n">
        <f>1368804000.0</f>
        <v>1.368804E9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46325.0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46325.0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15937</f>
        <v>15937.0</v>
      </c>
      <c r="E11" s="18" t="n">
        <f>1781</f>
        <v>1781.0</v>
      </c>
      <c r="F11" s="19" t="n">
        <f>1</f>
        <v>1.0</v>
      </c>
      <c r="G11" s="17" t="n">
        <f>2600126230</f>
        <v>2.60012623E9</v>
      </c>
      <c r="H11" s="18" t="n">
        <f>1449011530</f>
        <v>1.44901153E9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31111</f>
        <v>31111.0</v>
      </c>
      <c r="E12" s="22" t="n">
        <f>7763</f>
        <v>7763.0</v>
      </c>
      <c r="F12" s="23" t="n">
        <f>1</f>
        <v>1.0</v>
      </c>
      <c r="G12" s="21" t="n">
        <f>3824671185</f>
        <v>3.824671185E9</v>
      </c>
      <c r="H12" s="22" t="n">
        <f>1713624590</f>
        <v>1.71362459E9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33950</f>
        <v>33950.0</v>
      </c>
      <c r="E13" s="22" t="n">
        <f>12563</f>
        <v>12563.0</v>
      </c>
      <c r="F13" s="23" t="n">
        <f>1</f>
        <v>1.0</v>
      </c>
      <c r="G13" s="21" t="n">
        <f>16568013520</f>
        <v>1.656801352E10</v>
      </c>
      <c r="H13" s="22" t="n">
        <f>13062190340</f>
        <v>1.306219034E10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80998</f>
        <v>80998.0</v>
      </c>
      <c r="E14" s="26" t="n">
        <f>22107</f>
        <v>22107.0</v>
      </c>
      <c r="F14" s="27" t="n">
        <f>1</f>
        <v>1.0</v>
      </c>
      <c r="G14" s="25" t="n">
        <f>22992810935</f>
        <v>2.2992810935E10</v>
      </c>
      <c r="H14" s="26" t="n">
        <f>16224826460</f>
        <v>1.622482646E10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99</f>
        <v>99.0</v>
      </c>
      <c r="E16" s="22" t="n">
        <f>55</f>
        <v>55.0</v>
      </c>
      <c r="F16" s="23" t="n">
        <f>0.003</f>
        <v>0.003</v>
      </c>
      <c r="G16" s="21" t="n">
        <f>16140000</f>
        <v>1.614E7</v>
      </c>
      <c r="H16" s="22" t="n">
        <f>7050000</f>
        <v>7050000.0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122</f>
        <v>122.0</v>
      </c>
      <c r="E17" s="22" t="n">
        <f>0</f>
        <v>0.0</v>
      </c>
      <c r="F17" s="23" t="n">
        <f>0.004</f>
        <v>0.004</v>
      </c>
      <c r="G17" s="21" t="n">
        <f>12750000</f>
        <v>1.275E7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221</f>
        <v>221.0</v>
      </c>
      <c r="E18" s="26" t="n">
        <f>55</f>
        <v>55.0</v>
      </c>
      <c r="F18" s="27" t="n">
        <f>0.003</f>
        <v>0.003</v>
      </c>
      <c r="G18" s="25" t="n">
        <f>28890000</f>
        <v>2.889E7</v>
      </c>
      <c r="H18" s="26" t="n">
        <f>7050000</f>
        <v>7050000.0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15937</f>
        <v>15937.0</v>
      </c>
      <c r="E19" s="18" t="n">
        <f>1781</f>
        <v>1781.0</v>
      </c>
      <c r="F19" s="19" t="n">
        <f>1</f>
        <v>1.0</v>
      </c>
      <c r="G19" s="17" t="n">
        <f>2600126230</f>
        <v>2.60012623E9</v>
      </c>
      <c r="H19" s="18" t="n">
        <f>1449011530</f>
        <v>1.44901153E9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21361</f>
        <v>21361.0</v>
      </c>
      <c r="E20" s="22" t="n">
        <f>2408</f>
        <v>2408.0</v>
      </c>
      <c r="F20" s="23" t="n">
        <f>0.687</f>
        <v>0.687</v>
      </c>
      <c r="G20" s="21" t="n">
        <f>3737492590</f>
        <v>3.73749259E9</v>
      </c>
      <c r="H20" s="22" t="n">
        <f>1645624590</f>
        <v>1.64562459E9</v>
      </c>
      <c r="I20" s="23" t="n">
        <f>0.977</f>
        <v>0.977</v>
      </c>
    </row>
    <row r="21" spans="1:9" ht="24.9" customHeight="1">
      <c r="A21" s="41"/>
      <c r="B21" s="39"/>
      <c r="C21" s="20" t="s">
        <v>17</v>
      </c>
      <c r="D21" s="21" t="n">
        <f>32739</f>
        <v>32739.0</v>
      </c>
      <c r="E21" s="22" t="n">
        <f>12563</f>
        <v>12563.0</v>
      </c>
      <c r="F21" s="23" t="n">
        <f>0.964</f>
        <v>0.964</v>
      </c>
      <c r="G21" s="21" t="n">
        <f>16522805940</f>
        <v>1.652280594E10</v>
      </c>
      <c r="H21" s="22" t="n">
        <f>13062190340</f>
        <v>1.306219034E10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70037</f>
        <v>70037.0</v>
      </c>
      <c r="E22" s="26" t="n">
        <f>16752</f>
        <v>16752.0</v>
      </c>
      <c r="F22" s="27" t="n">
        <f>0.865</f>
        <v>0.865</v>
      </c>
      <c r="G22" s="25" t="n">
        <f>22860424760</f>
        <v>2.286042476E10</v>
      </c>
      <c r="H22" s="26" t="n">
        <f>16156826460</f>
        <v>1.615682646E10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9651</f>
        <v>9651.0</v>
      </c>
      <c r="E24" s="22" t="n">
        <f>5300</f>
        <v>5300.0</v>
      </c>
      <c r="F24" s="23" t="n">
        <f>0.31</f>
        <v>0.31</v>
      </c>
      <c r="G24" s="21" t="n">
        <f>71038595</f>
        <v>7.1038595E7</v>
      </c>
      <c r="H24" s="22" t="n">
        <f>60950000</f>
        <v>6.095E7</v>
      </c>
      <c r="I24" s="23" t="n">
        <f>0.019</f>
        <v>0.019</v>
      </c>
    </row>
    <row r="25" spans="1:9" ht="24.9" customHeight="1">
      <c r="A25" s="41"/>
      <c r="B25" s="39"/>
      <c r="C25" s="20" t="s">
        <v>17</v>
      </c>
      <c r="D25" s="21" t="n">
        <f>1089</f>
        <v>1089.0</v>
      </c>
      <c r="E25" s="22" t="n">
        <f>0</f>
        <v>0.0</v>
      </c>
      <c r="F25" s="23" t="n">
        <f>0.032</f>
        <v>0.032</v>
      </c>
      <c r="G25" s="21" t="n">
        <f>32457580</f>
        <v>3.245758E7</v>
      </c>
      <c r="H25" s="22" t="n">
        <f>0</f>
        <v>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10740</f>
        <v>10740.0</v>
      </c>
      <c r="E26" s="26" t="n">
        <f>5300</f>
        <v>5300.0</v>
      </c>
      <c r="F26" s="27" t="n">
        <f>0.133</f>
        <v>0.133</v>
      </c>
      <c r="G26" s="25" t="n">
        <f>103496175</f>
        <v>1.03496175E8</v>
      </c>
      <c r="H26" s="26" t="n">
        <f>60950000</f>
        <v>6.095E7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46325.0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46325.0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13168.0</v>
      </c>
      <c r="F12" s="18" t="n">
        <f>456</f>
        <v>456.0</v>
      </c>
      <c r="G12" s="17" t="n">
        <v>8.5185721395E11</v>
      </c>
      <c r="H12" s="18" t="n">
        <f>29484053950</f>
        <v>2.948405395E10</v>
      </c>
    </row>
    <row r="13" spans="1:8" ht="24.9" customHeight="1">
      <c r="A13" s="51"/>
      <c r="B13" s="57"/>
      <c r="C13" s="39"/>
      <c r="D13" s="20" t="s">
        <v>16</v>
      </c>
      <c r="E13" s="21" t="n">
        <v>14928.0</v>
      </c>
      <c r="F13" s="22" t="n">
        <f>1620</f>
        <v>1620.0</v>
      </c>
      <c r="G13" s="21" t="n">
        <v>9.4882475173E11</v>
      </c>
      <c r="H13" s="22" t="n">
        <f>104316595730</f>
        <v>1.0431659573E11</v>
      </c>
    </row>
    <row r="14" spans="1:8" ht="24.9" customHeight="1">
      <c r="A14" s="51"/>
      <c r="B14" s="57"/>
      <c r="C14" s="39"/>
      <c r="D14" s="20" t="s">
        <v>17</v>
      </c>
      <c r="E14" s="21" t="n">
        <v>22614.0</v>
      </c>
      <c r="F14" s="22" t="n">
        <f>6198</f>
        <v>6198.0</v>
      </c>
      <c r="G14" s="21" t="n">
        <v>1.4302386083E12</v>
      </c>
      <c r="H14" s="22" t="n">
        <f>392463227300</f>
        <v>3.924632273E11</v>
      </c>
    </row>
    <row r="15" spans="1:8" ht="24.9" customHeight="1">
      <c r="A15" s="51"/>
      <c r="B15" s="57"/>
      <c r="C15" s="39"/>
      <c r="D15" s="24" t="s">
        <v>18</v>
      </c>
      <c r="E15" s="25" t="n">
        <v>50710.0</v>
      </c>
      <c r="F15" s="26" t="n">
        <f>8274</f>
        <v>8274.0</v>
      </c>
      <c r="G15" s="25" t="n">
        <v>3.23092057398E12</v>
      </c>
      <c r="H15" s="26" t="n">
        <f>526263876980</f>
        <v>5.2626387698E11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369865.0</v>
      </c>
      <c r="F16" s="18" t="n">
        <f>36580</f>
        <v>36580.0</v>
      </c>
      <c r="G16" s="17" t="n">
        <v>2.39258079771E12</v>
      </c>
      <c r="H16" s="18" t="n">
        <f>236718529710</f>
        <v>2.3671852971E11</v>
      </c>
    </row>
    <row r="17" spans="1:8" ht="24.9" customHeight="1">
      <c r="A17" s="51"/>
      <c r="B17" s="57"/>
      <c r="C17" s="39"/>
      <c r="D17" s="20" t="s">
        <v>16</v>
      </c>
      <c r="E17" s="21" t="n">
        <v>244562.0</v>
      </c>
      <c r="F17" s="22" t="n">
        <f>16921</f>
        <v>16921.0</v>
      </c>
      <c r="G17" s="21" t="n">
        <v>1.55200401999E12</v>
      </c>
      <c r="H17" s="22" t="n">
        <f>107315971490</f>
        <v>1.0731597149E11</v>
      </c>
    </row>
    <row r="18" spans="1:8" ht="24.9" customHeight="1">
      <c r="A18" s="51"/>
      <c r="B18" s="57"/>
      <c r="C18" s="39"/>
      <c r="D18" s="20" t="s">
        <v>17</v>
      </c>
      <c r="E18" s="21" t="n">
        <v>251851.0</v>
      </c>
      <c r="F18" s="22" t="n">
        <f>16236</f>
        <v>16236.0</v>
      </c>
      <c r="G18" s="21" t="n">
        <v>1.591353459696E12</v>
      </c>
      <c r="H18" s="22" t="n">
        <f>102576488696</f>
        <v>1.02576488696E11</v>
      </c>
    </row>
    <row r="19" spans="1:8" ht="24.9" customHeight="1">
      <c r="A19" s="51"/>
      <c r="B19" s="57"/>
      <c r="C19" s="39"/>
      <c r="D19" s="24" t="s">
        <v>18</v>
      </c>
      <c r="E19" s="25" t="n">
        <v>866278.0</v>
      </c>
      <c r="F19" s="26" t="n">
        <f>69737</f>
        <v>69737.0</v>
      </c>
      <c r="G19" s="25" t="n">
        <v>5.535938277396E12</v>
      </c>
      <c r="H19" s="26" t="n">
        <f>446610989896</f>
        <v>4.46610989896E11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585047.0</v>
      </c>
      <c r="F20" s="18" t="str">
        <f>"－"</f>
        <v>－</v>
      </c>
      <c r="G20" s="17" t="n">
        <v>3.7842518645E11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308486.0</v>
      </c>
      <c r="F21" s="22" t="str">
        <f>"－"</f>
        <v>－</v>
      </c>
      <c r="G21" s="21" t="n">
        <v>1.957784592E11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278423.0</v>
      </c>
      <c r="F22" s="22" t="str">
        <f>"－"</f>
        <v>－</v>
      </c>
      <c r="G22" s="21" t="n">
        <v>1.75884609E11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1171956.0</v>
      </c>
      <c r="F23" s="26" t="str">
        <f>"－"</f>
        <v>－</v>
      </c>
      <c r="G23" s="25" t="n">
        <v>7.5008825465E11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17509.0</v>
      </c>
      <c r="F24" s="18" t="n">
        <f>169</f>
        <v>169.0</v>
      </c>
      <c r="G24" s="17" t="n">
        <v>7.032923695E11</v>
      </c>
      <c r="H24" s="18" t="n">
        <f>6777649500</f>
        <v>6.7776495E9</v>
      </c>
    </row>
    <row r="25" spans="1:8" ht="24.9" customHeight="1">
      <c r="A25" s="51"/>
      <c r="B25" s="57"/>
      <c r="C25" s="39"/>
      <c r="D25" s="20" t="s">
        <v>16</v>
      </c>
      <c r="E25" s="21" t="n">
        <v>21425.0</v>
      </c>
      <c r="F25" s="22" t="n">
        <f>298</f>
        <v>298.0</v>
      </c>
      <c r="G25" s="21" t="n">
        <v>8.538190165E11</v>
      </c>
      <c r="H25" s="22" t="n">
        <f>11948441500</f>
        <v>1.19484415E10</v>
      </c>
    </row>
    <row r="26" spans="1:8" ht="24.9" customHeight="1">
      <c r="A26" s="51"/>
      <c r="B26" s="57"/>
      <c r="C26" s="39"/>
      <c r="D26" s="20" t="s">
        <v>17</v>
      </c>
      <c r="E26" s="21" t="n">
        <v>42295.0</v>
      </c>
      <c r="F26" s="22" t="n">
        <f>4532</f>
        <v>4532.0</v>
      </c>
      <c r="G26" s="21" t="n">
        <v>1.675388405367E12</v>
      </c>
      <c r="H26" s="22" t="n">
        <f>179761990367</f>
        <v>1.79761990367E11</v>
      </c>
    </row>
    <row r="27" spans="1:8" ht="24.9" customHeight="1">
      <c r="A27" s="51"/>
      <c r="B27" s="57"/>
      <c r="C27" s="39"/>
      <c r="D27" s="24" t="s">
        <v>18</v>
      </c>
      <c r="E27" s="25" t="n">
        <v>81229.0</v>
      </c>
      <c r="F27" s="26" t="n">
        <f>4999</f>
        <v>4999.0</v>
      </c>
      <c r="G27" s="25" t="n">
        <v>3.232499791367E12</v>
      </c>
      <c r="H27" s="26" t="n">
        <f>198488081367</f>
        <v>1.98488081367E11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7379.0</v>
      </c>
      <c r="F28" s="18" t="n">
        <f>364</f>
        <v>364.0</v>
      </c>
      <c r="G28" s="17" t="n">
        <v>2.964362735E10</v>
      </c>
      <c r="H28" s="18" t="n">
        <f>1462925100</f>
        <v>1.4629251E9</v>
      </c>
    </row>
    <row r="29" spans="1:8" ht="24.9" customHeight="1">
      <c r="A29" s="51"/>
      <c r="B29" s="57"/>
      <c r="C29" s="39"/>
      <c r="D29" s="20" t="s">
        <v>16</v>
      </c>
      <c r="E29" s="21" t="n">
        <v>12150.0</v>
      </c>
      <c r="F29" s="22" t="n">
        <f>292</f>
        <v>292.0</v>
      </c>
      <c r="G29" s="21" t="n">
        <v>4.843688925E10</v>
      </c>
      <c r="H29" s="22" t="n">
        <f>1163323250</f>
        <v>1.16332325E9</v>
      </c>
    </row>
    <row r="30" spans="1:8" ht="24.9" customHeight="1">
      <c r="A30" s="51"/>
      <c r="B30" s="57"/>
      <c r="C30" s="39"/>
      <c r="D30" s="20" t="s">
        <v>17</v>
      </c>
      <c r="E30" s="21" t="n">
        <v>16608.0</v>
      </c>
      <c r="F30" s="22" t="n">
        <f>115</f>
        <v>115.0</v>
      </c>
      <c r="G30" s="21" t="n">
        <v>6.57525972E10</v>
      </c>
      <c r="H30" s="22" t="n">
        <f>454989450</f>
        <v>4.5498945E8</v>
      </c>
    </row>
    <row r="31" spans="1:8" ht="24.9" customHeight="1">
      <c r="A31" s="51"/>
      <c r="B31" s="57"/>
      <c r="C31" s="39"/>
      <c r="D31" s="24" t="s">
        <v>18</v>
      </c>
      <c r="E31" s="25" t="n">
        <v>36137.0</v>
      </c>
      <c r="F31" s="26" t="n">
        <f>771</f>
        <v>771.0</v>
      </c>
      <c r="G31" s="25" t="n">
        <v>1.438331138E11</v>
      </c>
      <c r="H31" s="26" t="n">
        <f>3081237800</f>
        <v>3.0812378E9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761.0</v>
      </c>
      <c r="F36" s="18" t="n">
        <f>11</f>
        <v>11.0</v>
      </c>
      <c r="G36" s="17" t="n">
        <v>2.762146751E9</v>
      </c>
      <c r="H36" s="18" t="n">
        <f>39927251</f>
        <v>3.9927251E7</v>
      </c>
    </row>
    <row r="37" spans="1:8" ht="24.9" customHeight="1">
      <c r="A37" s="51"/>
      <c r="B37" s="57"/>
      <c r="C37" s="39"/>
      <c r="D37" s="20" t="s">
        <v>16</v>
      </c>
      <c r="E37" s="21" t="n">
        <v>1232.0</v>
      </c>
      <c r="F37" s="22" t="n">
        <f>0</f>
        <v>0.0</v>
      </c>
      <c r="G37" s="21" t="n">
        <v>4.449314E9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1336.0</v>
      </c>
      <c r="F38" s="22" t="n">
        <f>40</f>
        <v>40.0</v>
      </c>
      <c r="G38" s="21" t="n">
        <v>4.7916525E9</v>
      </c>
      <c r="H38" s="22" t="n">
        <f>143368500</f>
        <v>1.433685E8</v>
      </c>
    </row>
    <row r="39" spans="1:8" ht="24.9" customHeight="1">
      <c r="A39" s="51"/>
      <c r="B39" s="57"/>
      <c r="C39" s="39"/>
      <c r="D39" s="24" t="s">
        <v>18</v>
      </c>
      <c r="E39" s="25" t="n">
        <v>3329.0</v>
      </c>
      <c r="F39" s="26" t="n">
        <f>51</f>
        <v>51.0</v>
      </c>
      <c r="G39" s="25" t="n">
        <v>1.2003113251E10</v>
      </c>
      <c r="H39" s="26" t="n">
        <f>183295751</f>
        <v>1.83295751E8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120.0</v>
      </c>
      <c r="F46" s="22" t="n">
        <f>120</f>
        <v>120.0</v>
      </c>
      <c r="G46" s="21" t="n">
        <v>8.4384E8</v>
      </c>
      <c r="H46" s="22" t="n">
        <f>843840000</f>
        <v>8.4384E8</v>
      </c>
    </row>
    <row r="47" spans="1:8" ht="24.9" customHeight="1">
      <c r="A47" s="51"/>
      <c r="B47" s="57"/>
      <c r="C47" s="39"/>
      <c r="D47" s="24" t="s">
        <v>18</v>
      </c>
      <c r="E47" s="25" t="n">
        <v>120.0</v>
      </c>
      <c r="F47" s="26" t="n">
        <f>120</f>
        <v>120.0</v>
      </c>
      <c r="G47" s="25" t="n">
        <v>8.4384E8</v>
      </c>
      <c r="H47" s="26" t="n">
        <f>843840000</f>
        <v>8.4384E8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112.0</v>
      </c>
      <c r="F48" s="18" t="n">
        <f>107</f>
        <v>107.0</v>
      </c>
      <c r="G48" s="17" t="n">
        <v>1.847613E8</v>
      </c>
      <c r="H48" s="18" t="n">
        <f>176498800</f>
        <v>1.764988E8</v>
      </c>
    </row>
    <row r="49" spans="1:8" ht="24.9" customHeight="1">
      <c r="A49" s="51"/>
      <c r="B49" s="57"/>
      <c r="C49" s="39"/>
      <c r="D49" s="20" t="s">
        <v>16</v>
      </c>
      <c r="E49" s="21" t="n">
        <v>48.0</v>
      </c>
      <c r="F49" s="22" t="n">
        <f>0</f>
        <v>0.0</v>
      </c>
      <c r="G49" s="21" t="n">
        <v>7.9191E7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101.0</v>
      </c>
      <c r="F50" s="22" t="n">
        <f>41</f>
        <v>41.0</v>
      </c>
      <c r="G50" s="21" t="n">
        <v>1.6640217E8</v>
      </c>
      <c r="H50" s="22" t="n">
        <f>67475170</f>
        <v>6.747517E7</v>
      </c>
    </row>
    <row r="51" spans="1:8" ht="24.9" customHeight="1">
      <c r="A51" s="51"/>
      <c r="B51" s="57"/>
      <c r="C51" s="39"/>
      <c r="D51" s="24" t="s">
        <v>18</v>
      </c>
      <c r="E51" s="25" t="n">
        <v>261.0</v>
      </c>
      <c r="F51" s="26" t="n">
        <f>148</f>
        <v>148.0</v>
      </c>
      <c r="G51" s="25" t="n">
        <v>4.3035447E8</v>
      </c>
      <c r="H51" s="26" t="n">
        <f>243973970</f>
        <v>2.4397397E8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973.0</v>
      </c>
      <c r="F56" s="18" t="n">
        <f>14</f>
        <v>14.0</v>
      </c>
      <c r="G56" s="17" t="n">
        <v>7.607012E8</v>
      </c>
      <c r="H56" s="18" t="n">
        <f>10954200</f>
        <v>1.09542E7</v>
      </c>
    </row>
    <row r="57" spans="1:8" ht="24.9" customHeight="1">
      <c r="A57" s="51"/>
      <c r="B57" s="57"/>
      <c r="C57" s="39"/>
      <c r="D57" s="20" t="s">
        <v>16</v>
      </c>
      <c r="E57" s="21" t="n">
        <v>1851.0</v>
      </c>
      <c r="F57" s="22" t="n">
        <f>35</f>
        <v>35.0</v>
      </c>
      <c r="G57" s="21" t="n">
        <v>1.454722E9</v>
      </c>
      <c r="H57" s="22" t="n">
        <f>27652000</f>
        <v>2.7652E7</v>
      </c>
    </row>
    <row r="58" spans="1:8" ht="24.9" customHeight="1">
      <c r="A58" s="51"/>
      <c r="B58" s="57"/>
      <c r="C58" s="39"/>
      <c r="D58" s="20" t="s">
        <v>17</v>
      </c>
      <c r="E58" s="21" t="n">
        <v>1141.0</v>
      </c>
      <c r="F58" s="22" t="n">
        <f>37</f>
        <v>37.0</v>
      </c>
      <c r="G58" s="21" t="n">
        <v>8.8616E8</v>
      </c>
      <c r="H58" s="22" t="n">
        <f>28793000</f>
        <v>2.8793E7</v>
      </c>
    </row>
    <row r="59" spans="1:8" ht="24.9" customHeight="1">
      <c r="A59" s="51"/>
      <c r="B59" s="57"/>
      <c r="C59" s="39"/>
      <c r="D59" s="24" t="s">
        <v>18</v>
      </c>
      <c r="E59" s="25" t="n">
        <v>3965.0</v>
      </c>
      <c r="F59" s="26" t="n">
        <f>86</f>
        <v>86.0</v>
      </c>
      <c r="G59" s="25" t="n">
        <v>3.1015832E9</v>
      </c>
      <c r="H59" s="26" t="n">
        <f>67399200</f>
        <v>6.73992E7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241.0</v>
      </c>
      <c r="F60" s="18" t="n">
        <f>9</f>
        <v>9.0</v>
      </c>
      <c r="G60" s="17" t="n">
        <v>1.26797687E9</v>
      </c>
      <c r="H60" s="18" t="n">
        <f>47355770</f>
        <v>4.735577E7</v>
      </c>
    </row>
    <row r="61" spans="1:8" ht="24.9" customHeight="1">
      <c r="A61" s="51"/>
      <c r="B61" s="57"/>
      <c r="C61" s="39"/>
      <c r="D61" s="20" t="s">
        <v>16</v>
      </c>
      <c r="E61" s="21" t="n">
        <v>27.0</v>
      </c>
      <c r="F61" s="22" t="n">
        <f>1</f>
        <v>1.0</v>
      </c>
      <c r="G61" s="21" t="n">
        <v>1.418245E8</v>
      </c>
      <c r="H61" s="22" t="n">
        <f>5254600</f>
        <v>5254600.0</v>
      </c>
    </row>
    <row r="62" spans="1:8" ht="24.9" customHeight="1">
      <c r="A62" s="51"/>
      <c r="B62" s="57"/>
      <c r="C62" s="39"/>
      <c r="D62" s="20" t="s">
        <v>17</v>
      </c>
      <c r="E62" s="21" t="n">
        <v>21.0</v>
      </c>
      <c r="F62" s="22" t="n">
        <f>2</f>
        <v>2.0</v>
      </c>
      <c r="G62" s="21" t="n">
        <v>1.101963E8</v>
      </c>
      <c r="H62" s="22" t="n">
        <f>10489100</f>
        <v>1.04891E7</v>
      </c>
    </row>
    <row r="63" spans="1:8" ht="24.9" customHeight="1">
      <c r="A63" s="51"/>
      <c r="B63" s="57"/>
      <c r="C63" s="39"/>
      <c r="D63" s="24" t="s">
        <v>18</v>
      </c>
      <c r="E63" s="25" t="n">
        <v>289.0</v>
      </c>
      <c r="F63" s="26" t="n">
        <f>12</f>
        <v>12.0</v>
      </c>
      <c r="G63" s="25" t="n">
        <v>1.51999767E9</v>
      </c>
      <c r="H63" s="26" t="n">
        <f>63099470</f>
        <v>6.309947E7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5.0</v>
      </c>
      <c r="F74" s="22" t="n">
        <f>0</f>
        <v>0.0</v>
      </c>
      <c r="G74" s="21" t="n">
        <v>6800000.0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5.0</v>
      </c>
      <c r="F75" s="26" t="n">
        <f>0</f>
        <v>0.0</v>
      </c>
      <c r="G75" s="25" t="n">
        <v>6800000.0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4.0</v>
      </c>
      <c r="F77" s="22" t="n">
        <f>0</f>
        <v>0.0</v>
      </c>
      <c r="G77" s="21" t="n">
        <v>1369000.0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3742000.0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15.0</v>
      </c>
      <c r="F79" s="26" t="n">
        <f>0</f>
        <v>0.0</v>
      </c>
      <c r="G79" s="25" t="n">
        <v>5111000.0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19.0</v>
      </c>
      <c r="F92" s="18" t="n">
        <f>0</f>
        <v>0.0</v>
      </c>
      <c r="G92" s="17" t="n">
        <v>2.98757E7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250.0</v>
      </c>
      <c r="F93" s="22" t="n">
        <f>0</f>
        <v>0.0</v>
      </c>
      <c r="G93" s="21" t="n">
        <v>3.922651E8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2354.0</v>
      </c>
      <c r="F94" s="22" t="n">
        <f>0</f>
        <v>0.0</v>
      </c>
      <c r="G94" s="21" t="n">
        <v>3.6936566E9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2623.0</v>
      </c>
      <c r="F95" s="26" t="n">
        <f>0</f>
        <v>0.0</v>
      </c>
      <c r="G95" s="25" t="n">
        <v>4.1157974E9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274.0</v>
      </c>
      <c r="F96" s="18" t="n">
        <f>0</f>
        <v>0.0</v>
      </c>
      <c r="G96" s="17" t="n">
        <v>6.496131E8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9.0</v>
      </c>
      <c r="F98" s="22" t="n">
        <f>0</f>
        <v>0.0</v>
      </c>
      <c r="G98" s="21" t="n">
        <v>2.12851E7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283.0</v>
      </c>
      <c r="F99" s="26" t="n">
        <f>0</f>
        <v>0.0</v>
      </c>
      <c r="G99" s="25" t="n">
        <v>6.708982E8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40.0</v>
      </c>
      <c r="F100" s="18" t="n">
        <f>0</f>
        <v>0.0</v>
      </c>
      <c r="G100" s="17" t="n">
        <v>7.0336E7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10.0</v>
      </c>
      <c r="F101" s="22" t="n">
        <f>0</f>
        <v>0.0</v>
      </c>
      <c r="G101" s="21" t="n">
        <v>1.7614E7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50.0</v>
      </c>
      <c r="F103" s="26" t="n">
        <f>0</f>
        <v>0.0</v>
      </c>
      <c r="G103" s="25" t="n">
        <v>8.795E7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15178.0</v>
      </c>
      <c r="F108" s="18" t="n">
        <f>985</f>
        <v>985.0</v>
      </c>
      <c r="G108" s="17" t="n">
        <v>1.91692428E12</v>
      </c>
      <c r="H108" s="18" t="n">
        <f>124337040000</f>
        <v>1.2433704E11</v>
      </c>
    </row>
    <row r="109" spans="1:8" ht="24.9" customHeight="1">
      <c r="A109" s="51"/>
      <c r="B109" s="57"/>
      <c r="C109" s="39"/>
      <c r="D109" s="20" t="s">
        <v>16</v>
      </c>
      <c r="E109" s="21" t="n">
        <v>18583.0</v>
      </c>
      <c r="F109" s="22" t="n">
        <f>615</f>
        <v>615.0</v>
      </c>
      <c r="G109" s="21" t="n">
        <v>2.35412702E12</v>
      </c>
      <c r="H109" s="22" t="n">
        <f>77882550000</f>
        <v>7.788255E10</v>
      </c>
    </row>
    <row r="110" spans="1:8" ht="24.9" customHeight="1">
      <c r="A110" s="51"/>
      <c r="B110" s="57"/>
      <c r="C110" s="39"/>
      <c r="D110" s="20" t="s">
        <v>17</v>
      </c>
      <c r="E110" s="21" t="n">
        <v>16774.0</v>
      </c>
      <c r="F110" s="22" t="n">
        <f>1682</f>
        <v>1682.0</v>
      </c>
      <c r="G110" s="21" t="n">
        <v>2.12464248E12</v>
      </c>
      <c r="H110" s="22" t="n">
        <f>213096190000</f>
        <v>2.1309619E11</v>
      </c>
    </row>
    <row r="111" spans="1:8" ht="24.9" customHeight="1">
      <c r="A111" s="51"/>
      <c r="B111" s="57"/>
      <c r="C111" s="39"/>
      <c r="D111" s="24" t="s">
        <v>18</v>
      </c>
      <c r="E111" s="25" t="n">
        <v>50535.0</v>
      </c>
      <c r="F111" s="26" t="n">
        <f>3282</f>
        <v>3282.0</v>
      </c>
      <c r="G111" s="25" t="n">
        <v>6.39569378E12</v>
      </c>
      <c r="H111" s="26" t="n">
        <f>415315780000</f>
        <v>4.1531578E11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2885.0</v>
      </c>
      <c r="F113" s="22" t="n">
        <f>0</f>
        <v>0.0</v>
      </c>
      <c r="G113" s="21" t="n">
        <v>3.655393E10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1415.0</v>
      </c>
      <c r="F114" s="22" t="n">
        <f>0</f>
        <v>0.0</v>
      </c>
      <c r="G114" s="21" t="n">
        <v>1.792251E10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4300.0</v>
      </c>
      <c r="F115" s="26" t="n">
        <f>0</f>
        <v>0.0</v>
      </c>
      <c r="G115" s="25" t="n">
        <v>5.447644E10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14.0</v>
      </c>
      <c r="F117" s="22" t="n">
        <f>0</f>
        <v>0.0</v>
      </c>
      <c r="G117" s="21" t="n">
        <v>1.27414E8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260.0</v>
      </c>
      <c r="F118" s="22" t="n">
        <f>0</f>
        <v>0.0</v>
      </c>
      <c r="G118" s="21" t="n">
        <v>2.36925E9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274.0</v>
      </c>
      <c r="F119" s="26" t="n">
        <f>0</f>
        <v>0.0</v>
      </c>
      <c r="G119" s="25" t="n">
        <v>2.496664E9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1014.0</v>
      </c>
      <c r="F120" s="18" t="n">
        <f>0</f>
        <v>0.0</v>
      </c>
      <c r="G120" s="17" t="n">
        <v>2.4942331875E10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4238.0</v>
      </c>
      <c r="F121" s="22" t="n">
        <f>3597</f>
        <v>3597.0</v>
      </c>
      <c r="G121" s="21" t="n">
        <v>1.042432925E11</v>
      </c>
      <c r="H121" s="22" t="n">
        <f>88471428750</f>
        <v>8.847142875E10</v>
      </c>
    </row>
    <row r="122" spans="1:8" ht="24.9" customHeight="1">
      <c r="A122" s="51"/>
      <c r="B122" s="54"/>
      <c r="C122" s="39"/>
      <c r="D122" s="20" t="s">
        <v>17</v>
      </c>
      <c r="E122" s="21" t="n">
        <v>5023.0</v>
      </c>
      <c r="F122" s="22" t="n">
        <f>0</f>
        <v>0.0</v>
      </c>
      <c r="G122" s="21" t="n">
        <v>1.23843726875E11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10275.0</v>
      </c>
      <c r="F123" s="26" t="n">
        <f>3597</f>
        <v>3597.0</v>
      </c>
      <c r="G123" s="25" t="n">
        <v>2.5302935125E11</v>
      </c>
      <c r="H123" s="26" t="n">
        <f>88471428750</f>
        <v>8.847142875E10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3782.0</v>
      </c>
      <c r="F124" s="18" t="n">
        <f>0</f>
        <v>0.0</v>
      </c>
      <c r="G124" s="17" t="n">
        <v>7.8906533E10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3180.0</v>
      </c>
      <c r="F125" s="22" t="n">
        <f>0</f>
        <v>0.0</v>
      </c>
      <c r="G125" s="21" t="n">
        <v>6.5814476E10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2842.0</v>
      </c>
      <c r="F126" s="22" t="n">
        <f>0</f>
        <v>0.0</v>
      </c>
      <c r="G126" s="21" t="n">
        <v>5.8634894E10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9804.0</v>
      </c>
      <c r="F127" s="26" t="n">
        <f>0</f>
        <v>0.0</v>
      </c>
      <c r="G127" s="25" t="n">
        <v>2.03355903E11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139.0</v>
      </c>
      <c r="F128" s="18" t="n">
        <f>0</f>
        <v>0.0</v>
      </c>
      <c r="G128" s="17" t="n">
        <v>2.879714E8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87.0</v>
      </c>
      <c r="F129" s="22" t="n">
        <f>0</f>
        <v>0.0</v>
      </c>
      <c r="G129" s="21" t="n">
        <v>1.778758E8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275.0</v>
      </c>
      <c r="F130" s="22" t="n">
        <f>0</f>
        <v>0.0</v>
      </c>
      <c r="G130" s="21" t="n">
        <v>5.663312E8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501.0</v>
      </c>
      <c r="F131" s="26" t="n">
        <f>0</f>
        <v>0.0</v>
      </c>
      <c r="G131" s="25" t="n">
        <v>1.0321784E9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3619.0</v>
      </c>
      <c r="F132" s="18" t="n">
        <f>0</f>
        <v>0.0</v>
      </c>
      <c r="G132" s="17" t="n">
        <v>7.5701462E9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1844.0</v>
      </c>
      <c r="F133" s="22" t="n">
        <f>0</f>
        <v>0.0</v>
      </c>
      <c r="G133" s="21" t="n">
        <v>3.8271647E9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2558.0</v>
      </c>
      <c r="F134" s="22" t="n">
        <f>0</f>
        <v>0.0</v>
      </c>
      <c r="G134" s="21" t="n">
        <v>5.28860745E9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8021.0</v>
      </c>
      <c r="F135" s="26" t="n">
        <f>0</f>
        <v>0.0</v>
      </c>
      <c r="G135" s="25" t="n">
        <v>1.668591835E10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22.0</v>
      </c>
      <c r="F136" s="18" t="n">
        <f>0</f>
        <v>0.0</v>
      </c>
      <c r="G136" s="17" t="n">
        <v>4.45227E7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31.0</v>
      </c>
      <c r="F137" s="22" t="n">
        <f>0</f>
        <v>0.0</v>
      </c>
      <c r="G137" s="21" t="n">
        <v>6.21438E7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29.0</v>
      </c>
      <c r="F138" s="22" t="n">
        <f>0</f>
        <v>0.0</v>
      </c>
      <c r="G138" s="21" t="n">
        <v>5.81207E7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82.0</v>
      </c>
      <c r="F139" s="26" t="n">
        <f>0</f>
        <v>0.0</v>
      </c>
      <c r="G139" s="25" t="n">
        <v>1.647872E8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8.0</v>
      </c>
      <c r="F141" s="22" t="n">
        <f>0</f>
        <v>0.0</v>
      </c>
      <c r="G141" s="21" t="n">
        <v>6.3603E7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8.0</v>
      </c>
      <c r="F143" s="26" t="n">
        <f>0</f>
        <v>0.0</v>
      </c>
      <c r="G143" s="25" t="n">
        <v>6.3603E7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769.0</v>
      </c>
      <c r="F144" s="18" t="n">
        <f>0</f>
        <v>0.0</v>
      </c>
      <c r="G144" s="17" t="n">
        <v>2.8160555E9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1096.0</v>
      </c>
      <c r="F145" s="22" t="n">
        <f>0</f>
        <v>0.0</v>
      </c>
      <c r="G145" s="21" t="n">
        <v>3.951962E9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2311.0</v>
      </c>
      <c r="F146" s="22" t="n">
        <f>0</f>
        <v>0.0</v>
      </c>
      <c r="G146" s="21" t="n">
        <v>8.230915E9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4176.0</v>
      </c>
      <c r="F147" s="26" t="n">
        <f>0</f>
        <v>0.0</v>
      </c>
      <c r="G147" s="25" t="n">
        <v>1.49989325E10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15.0</v>
      </c>
      <c r="F148" s="18" t="n">
        <f>0</f>
        <v>0.0</v>
      </c>
      <c r="G148" s="17" t="n">
        <v>1.13154E7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87.0</v>
      </c>
      <c r="F149" s="22" t="n">
        <f>0</f>
        <v>0.0</v>
      </c>
      <c r="G149" s="21" t="n">
        <v>6.43403E7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680.0</v>
      </c>
      <c r="F150" s="22" t="n">
        <f>0</f>
        <v>0.0</v>
      </c>
      <c r="G150" s="21" t="n">
        <v>4.926437E8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782.0</v>
      </c>
      <c r="F151" s="26" t="n">
        <f>0</f>
        <v>0.0</v>
      </c>
      <c r="G151" s="25" t="n">
        <v>5.682994E8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235.0</v>
      </c>
      <c r="F152" s="18" t="n">
        <f>0</f>
        <v>0.0</v>
      </c>
      <c r="G152" s="17" t="n">
        <v>1.721912E8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331.0</v>
      </c>
      <c r="F153" s="22" t="n">
        <f>0</f>
        <v>0.0</v>
      </c>
      <c r="G153" s="21" t="n">
        <v>2.377802E8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581.0</v>
      </c>
      <c r="F154" s="22" t="n">
        <f>0</f>
        <v>0.0</v>
      </c>
      <c r="G154" s="21" t="n">
        <v>4.126941E8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1147.0</v>
      </c>
      <c r="F155" s="26" t="n">
        <f>0</f>
        <v>0.0</v>
      </c>
      <c r="G155" s="25" t="n">
        <v>8.226655E8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54.0</v>
      </c>
      <c r="F156" s="18" t="n">
        <f>0</f>
        <v>0.0</v>
      </c>
      <c r="G156" s="17" t="n">
        <v>3.93911E7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137.0</v>
      </c>
      <c r="F157" s="22" t="n">
        <f>0</f>
        <v>0.0</v>
      </c>
      <c r="G157" s="21" t="n">
        <v>9.81412E7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219.0</v>
      </c>
      <c r="F158" s="22" t="n">
        <f>0</f>
        <v>0.0</v>
      </c>
      <c r="G158" s="21" t="n">
        <v>1.539741E8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410.0</v>
      </c>
      <c r="F159" s="26" t="n">
        <f>0</f>
        <v>0.0</v>
      </c>
      <c r="G159" s="25" t="n">
        <v>2.915064E8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403.0</v>
      </c>
      <c r="F168" s="18" t="n">
        <f>0</f>
        <v>0.0</v>
      </c>
      <c r="G168" s="17" t="n">
        <v>8.8854E8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255.0</v>
      </c>
      <c r="F169" s="22" t="n">
        <f>0</f>
        <v>0.0</v>
      </c>
      <c r="G169" s="21" t="n">
        <v>5.6035E8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1329.0</v>
      </c>
      <c r="F170" s="22" t="n">
        <f>0</f>
        <v>0.0</v>
      </c>
      <c r="G170" s="21" t="n">
        <v>2.922198E9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1987.0</v>
      </c>
      <c r="F171" s="26" t="n">
        <f>0</f>
        <v>0.0</v>
      </c>
      <c r="G171" s="25" t="n">
        <v>4.371088E9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7672000.0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11.0</v>
      </c>
      <c r="F178" s="22" t="n">
        <f>0</f>
        <v>0.0</v>
      </c>
      <c r="G178" s="21" t="n">
        <v>2.10375E7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15.0</v>
      </c>
      <c r="F179" s="26" t="n">
        <f>0</f>
        <v>0.0</v>
      </c>
      <c r="G179" s="25" t="n">
        <v>2.87095E7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208.0</v>
      </c>
      <c r="F204" s="18" t="n">
        <f>0</f>
        <v>0.0</v>
      </c>
      <c r="G204" s="17" t="n">
        <v>1.044408E9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209.0</v>
      </c>
      <c r="F205" s="22" t="n">
        <f>0</f>
        <v>0.0</v>
      </c>
      <c r="G205" s="21" t="n">
        <v>1.0564675E9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1278.0</v>
      </c>
      <c r="F206" s="22" t="n">
        <f>0</f>
        <v>0.0</v>
      </c>
      <c r="G206" s="21" t="n">
        <v>6.4899265E9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1695.0</v>
      </c>
      <c r="F207" s="26" t="n">
        <f>0</f>
        <v>0.0</v>
      </c>
      <c r="G207" s="25" t="n">
        <v>8.590802E9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200.0</v>
      </c>
      <c r="F208" s="18" t="n">
        <f>200</f>
        <v>200.0</v>
      </c>
      <c r="G208" s="17" t="n">
        <v>4.24368E8</v>
      </c>
      <c r="H208" s="18" t="n">
        <f>424368000</f>
        <v>4.24368E8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150.0</v>
      </c>
      <c r="F210" s="22" t="n">
        <f>150</f>
        <v>150.0</v>
      </c>
      <c r="G210" s="21" t="n">
        <v>3.30132E8</v>
      </c>
      <c r="H210" s="22" t="n">
        <f>330132000</f>
        <v>3.30132E8</v>
      </c>
    </row>
    <row r="211" spans="1:8" ht="24.9" customHeight="1">
      <c r="A211" s="57"/>
      <c r="B211" s="59"/>
      <c r="C211" s="39"/>
      <c r="D211" s="24" t="s">
        <v>18</v>
      </c>
      <c r="E211" s="25" t="n">
        <v>350.0</v>
      </c>
      <c r="F211" s="26" t="n">
        <f>350</f>
        <v>350.0</v>
      </c>
      <c r="G211" s="25" t="n">
        <v>7.545E8</v>
      </c>
      <c r="H211" s="26" t="n">
        <f>754500000</f>
        <v>7.545E8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200.0</v>
      </c>
      <c r="F212" s="18" t="n">
        <f>200</f>
        <v>200.0</v>
      </c>
      <c r="G212" s="17" t="n">
        <v>3.45096E8</v>
      </c>
      <c r="H212" s="18" t="n">
        <f>345096000</f>
        <v>3.45096E8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150.0</v>
      </c>
      <c r="F214" s="22" t="n">
        <f>150</f>
        <v>150.0</v>
      </c>
      <c r="G214" s="21" t="n">
        <v>2.69208E8</v>
      </c>
      <c r="H214" s="22" t="n">
        <f>269208000</f>
        <v>2.69208E8</v>
      </c>
    </row>
    <row r="215" spans="1:8" ht="24.9" customHeight="1">
      <c r="A215" s="57"/>
      <c r="B215" s="59"/>
      <c r="C215" s="39"/>
      <c r="D215" s="24" t="s">
        <v>18</v>
      </c>
      <c r="E215" s="25" t="n">
        <v>350.0</v>
      </c>
      <c r="F215" s="26" t="n">
        <f>350</f>
        <v>350.0</v>
      </c>
      <c r="G215" s="25" t="n">
        <v>6.14304E8</v>
      </c>
      <c r="H215" s="26" t="n">
        <f>614304000</f>
        <v>6.14304E8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46325.0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46325.0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3497</f>
        <v>3497.0</v>
      </c>
      <c r="E12" s="35" t="n">
        <f>1489</f>
        <v>1489.0</v>
      </c>
      <c r="F12" s="17" t="n">
        <f>1490</f>
        <v>1490.0</v>
      </c>
      <c r="G12" s="35" t="n">
        <f>172</f>
        <v>172.0</v>
      </c>
      <c r="H12" s="17" t="n">
        <f>4987</f>
        <v>4987.0</v>
      </c>
      <c r="I12" s="35" t="n">
        <f>1661</f>
        <v>1661.0</v>
      </c>
      <c r="J12" s="17" t="n">
        <f>1240032910</f>
        <v>1.24003291E9</v>
      </c>
      <c r="K12" s="35" t="n">
        <f>853949910</f>
        <v>8.5394991E8</v>
      </c>
      <c r="L12" s="17" t="n">
        <f>899129260</f>
        <v>8.9912926E8</v>
      </c>
      <c r="M12" s="35" t="n">
        <f>593704260</f>
        <v>5.9370426E8</v>
      </c>
      <c r="N12" s="17" t="n">
        <f>2139162170</f>
        <v>2.13916217E9</v>
      </c>
      <c r="O12" s="35" t="n">
        <f>1447654170</f>
        <v>1.44765417E9</v>
      </c>
    </row>
    <row r="13" spans="1:15" ht="24.9" customHeight="1">
      <c r="A13" s="38"/>
      <c r="B13" s="62"/>
      <c r="C13" s="20" t="s">
        <v>16</v>
      </c>
      <c r="D13" s="21" t="n">
        <f>5145</f>
        <v>5145.0</v>
      </c>
      <c r="E13" s="36" t="n">
        <f>1444</f>
        <v>1444.0</v>
      </c>
      <c r="F13" s="21" t="n">
        <f>2845</f>
        <v>2845.0</v>
      </c>
      <c r="G13" s="36" t="n">
        <f>414</f>
        <v>414.0</v>
      </c>
      <c r="H13" s="21" t="n">
        <f>7990</f>
        <v>7990.0</v>
      </c>
      <c r="I13" s="36" t="n">
        <f>1858</f>
        <v>1858.0</v>
      </c>
      <c r="J13" s="21" t="n">
        <f>2623782150</f>
        <v>2.62378215E9</v>
      </c>
      <c r="K13" s="36" t="n">
        <f>1431346150</f>
        <v>1.43134615E9</v>
      </c>
      <c r="L13" s="21" t="n">
        <f>561772810</f>
        <v>5.6177281E8</v>
      </c>
      <c r="M13" s="36" t="n">
        <f>153964810</f>
        <v>1.5396481E8</v>
      </c>
      <c r="N13" s="21" t="n">
        <f>3185554960</f>
        <v>3.18555496E9</v>
      </c>
      <c r="O13" s="36" t="n">
        <f>1585310960</f>
        <v>1.58531096E9</v>
      </c>
    </row>
    <row r="14" spans="1:15" ht="24.9" customHeight="1">
      <c r="A14" s="38"/>
      <c r="B14" s="62"/>
      <c r="C14" s="20" t="s">
        <v>17</v>
      </c>
      <c r="D14" s="21" t="n">
        <f>10443</f>
        <v>10443.0</v>
      </c>
      <c r="E14" s="36" t="n">
        <f>6217</f>
        <v>6217.0</v>
      </c>
      <c r="F14" s="21" t="n">
        <f>7840</f>
        <v>7840.0</v>
      </c>
      <c r="G14" s="36" t="n">
        <f>4926</f>
        <v>4926.0</v>
      </c>
      <c r="H14" s="21" t="n">
        <f>18283</f>
        <v>18283.0</v>
      </c>
      <c r="I14" s="36" t="n">
        <f>11143</f>
        <v>11143.0</v>
      </c>
      <c r="J14" s="21" t="n">
        <f>7875740480</f>
        <v>7.87574048E9</v>
      </c>
      <c r="K14" s="36" t="n">
        <f>5938705480</f>
        <v>5.93870548E9</v>
      </c>
      <c r="L14" s="21" t="n">
        <f>7577836250</f>
        <v>7.57783625E9</v>
      </c>
      <c r="M14" s="36" t="n">
        <f>6580451250</f>
        <v>6.58045125E9</v>
      </c>
      <c r="N14" s="21" t="n">
        <f>15453576730</f>
        <v>1.545357673E10</v>
      </c>
      <c r="O14" s="36" t="n">
        <f>12519156730</f>
        <v>1.251915673E10</v>
      </c>
    </row>
    <row r="15" spans="1:15" ht="24.9" customHeight="1">
      <c r="A15" s="38"/>
      <c r="B15" s="62"/>
      <c r="C15" s="24" t="s">
        <v>18</v>
      </c>
      <c r="D15" s="25" t="n">
        <f>19085</f>
        <v>19085.0</v>
      </c>
      <c r="E15" s="37" t="n">
        <f>9150</f>
        <v>9150.0</v>
      </c>
      <c r="F15" s="25" t="n">
        <f>12175</f>
        <v>12175.0</v>
      </c>
      <c r="G15" s="37" t="n">
        <f>5512</f>
        <v>5512.0</v>
      </c>
      <c r="H15" s="25" t="n">
        <f>31260</f>
        <v>31260.0</v>
      </c>
      <c r="I15" s="37" t="n">
        <f>14662</f>
        <v>14662.0</v>
      </c>
      <c r="J15" s="25" t="n">
        <f>11739555540</f>
        <v>1.173955554E10</v>
      </c>
      <c r="K15" s="37" t="n">
        <f>8224001540</f>
        <v>8.22400154E9</v>
      </c>
      <c r="L15" s="25" t="n">
        <f>9038738320</f>
        <v>9.03873832E9</v>
      </c>
      <c r="M15" s="37" t="n">
        <f>7328120320</f>
        <v>7.32812032E9</v>
      </c>
      <c r="N15" s="25" t="n">
        <f>20778293860</f>
        <v>2.077829386E10</v>
      </c>
      <c r="O15" s="37" t="n">
        <f>15552121860</f>
        <v>1.555212186E10</v>
      </c>
    </row>
    <row r="16" spans="1:15" ht="24.9" customHeight="1">
      <c r="A16" s="38"/>
      <c r="B16" s="61" t="s">
        <v>105</v>
      </c>
      <c r="C16" s="16" t="s">
        <v>15</v>
      </c>
      <c r="D16" s="17" t="n">
        <f>5674</f>
        <v>5674.0</v>
      </c>
      <c r="E16" s="35" t="n">
        <f>30</f>
        <v>30.0</v>
      </c>
      <c r="F16" s="17" t="n">
        <f>5276</f>
        <v>5276.0</v>
      </c>
      <c r="G16" s="35" t="n">
        <f>90</f>
        <v>90.0</v>
      </c>
      <c r="H16" s="17" t="n">
        <f>10950</f>
        <v>10950.0</v>
      </c>
      <c r="I16" s="35" t="n">
        <f>120</f>
        <v>120.0</v>
      </c>
      <c r="J16" s="17" t="n">
        <f>297025320</f>
        <v>2.9702532E8</v>
      </c>
      <c r="K16" s="35" t="n">
        <f>366320</f>
        <v>366320.0</v>
      </c>
      <c r="L16" s="17" t="n">
        <f>163938740</f>
        <v>1.6393874E8</v>
      </c>
      <c r="M16" s="35" t="n">
        <f>991040</f>
        <v>991040.0</v>
      </c>
      <c r="N16" s="17" t="n">
        <f>460964060</f>
        <v>4.6096406E8</v>
      </c>
      <c r="O16" s="35" t="n">
        <f>1357360</f>
        <v>1357360.0</v>
      </c>
    </row>
    <row r="17" spans="1:15" ht="24.9" customHeight="1">
      <c r="A17" s="38"/>
      <c r="B17" s="62"/>
      <c r="C17" s="20" t="s">
        <v>16</v>
      </c>
      <c r="D17" s="21" t="n">
        <f>3743</f>
        <v>3743.0</v>
      </c>
      <c r="E17" s="36" t="n">
        <f>110</f>
        <v>110.0</v>
      </c>
      <c r="F17" s="21" t="n">
        <f>9388</f>
        <v>9388.0</v>
      </c>
      <c r="G17" s="36" t="n">
        <f>200</f>
        <v>200.0</v>
      </c>
      <c r="H17" s="21" t="n">
        <f>13131</f>
        <v>13131.0</v>
      </c>
      <c r="I17" s="36" t="n">
        <f>310</f>
        <v>310.0</v>
      </c>
      <c r="J17" s="21" t="n">
        <f>269888010</f>
        <v>2.6988801E8</v>
      </c>
      <c r="K17" s="36" t="n">
        <f>7430110</f>
        <v>7430110.0</v>
      </c>
      <c r="L17" s="21" t="n">
        <f>233099620</f>
        <v>2.3309962E8</v>
      </c>
      <c r="M17" s="36" t="n">
        <f>3933520</f>
        <v>3933520.0</v>
      </c>
      <c r="N17" s="21" t="n">
        <f>502987630</f>
        <v>5.0298763E8</v>
      </c>
      <c r="O17" s="36" t="n">
        <f>11363630</f>
        <v>1.136363E7</v>
      </c>
    </row>
    <row r="18" spans="1:15" ht="24.9" customHeight="1">
      <c r="A18" s="38"/>
      <c r="B18" s="62"/>
      <c r="C18" s="20" t="s">
        <v>17</v>
      </c>
      <c r="D18" s="21" t="n">
        <f>5553</f>
        <v>5553.0</v>
      </c>
      <c r="E18" s="36" t="n">
        <f>60</f>
        <v>60.0</v>
      </c>
      <c r="F18" s="21" t="n">
        <f>7803</f>
        <v>7803.0</v>
      </c>
      <c r="G18" s="36" t="n">
        <f>260</f>
        <v>260.0</v>
      </c>
      <c r="H18" s="21" t="n">
        <f>13356</f>
        <v>13356.0</v>
      </c>
      <c r="I18" s="36" t="n">
        <f>320</f>
        <v>320.0</v>
      </c>
      <c r="J18" s="21" t="n">
        <f>324388070</f>
        <v>3.2438807E8</v>
      </c>
      <c r="K18" s="36" t="n">
        <f>2098270</f>
        <v>2098270.0</v>
      </c>
      <c r="L18" s="21" t="n">
        <f>206341140</f>
        <v>2.0634114E8</v>
      </c>
      <c r="M18" s="36" t="n">
        <f>2435340</f>
        <v>2435340.0</v>
      </c>
      <c r="N18" s="21" t="n">
        <f>530729210</f>
        <v>5.3072921E8</v>
      </c>
      <c r="O18" s="36" t="n">
        <f>4533610</f>
        <v>4533610.0</v>
      </c>
    </row>
    <row r="19" spans="1:15" ht="24.9" customHeight="1">
      <c r="A19" s="38"/>
      <c r="B19" s="62"/>
      <c r="C19" s="24" t="s">
        <v>18</v>
      </c>
      <c r="D19" s="25" t="n">
        <f>14970</f>
        <v>14970.0</v>
      </c>
      <c r="E19" s="37" t="n">
        <f>200</f>
        <v>200.0</v>
      </c>
      <c r="F19" s="25" t="n">
        <f>22467</f>
        <v>22467.0</v>
      </c>
      <c r="G19" s="37" t="n">
        <f>550</f>
        <v>550.0</v>
      </c>
      <c r="H19" s="25" t="n">
        <f>37437</f>
        <v>37437.0</v>
      </c>
      <c r="I19" s="37" t="n">
        <f>750</f>
        <v>750.0</v>
      </c>
      <c r="J19" s="25" t="n">
        <f>891301400</f>
        <v>8.913014E8</v>
      </c>
      <c r="K19" s="37" t="n">
        <f>9894700</f>
        <v>9894700.0</v>
      </c>
      <c r="L19" s="25" t="n">
        <f>603379500</f>
        <v>6.033795E8</v>
      </c>
      <c r="M19" s="37" t="n">
        <f>7359900</f>
        <v>7359900.0</v>
      </c>
      <c r="N19" s="25" t="n">
        <f>1494680900</f>
        <v>1.4946809E9</v>
      </c>
      <c r="O19" s="37" t="n">
        <f>17254600</f>
        <v>1.72546E7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170</f>
        <v>170.0</v>
      </c>
      <c r="E21" s="36" t="n">
        <f>170</f>
        <v>170.0</v>
      </c>
      <c r="F21" s="21" t="n">
        <f>70</f>
        <v>70.0</v>
      </c>
      <c r="G21" s="36" t="n">
        <f>70</f>
        <v>70.0</v>
      </c>
      <c r="H21" s="21" t="n">
        <f>240</f>
        <v>240.0</v>
      </c>
      <c r="I21" s="36" t="n">
        <f>240</f>
        <v>240.0</v>
      </c>
      <c r="J21" s="21" t="n">
        <f>31800000</f>
        <v>3.18E7</v>
      </c>
      <c r="K21" s="36" t="n">
        <f>31800000</f>
        <v>3.18E7</v>
      </c>
      <c r="L21" s="21" t="n">
        <f>17150000</f>
        <v>1.715E7</v>
      </c>
      <c r="M21" s="36" t="n">
        <f>17150000</f>
        <v>1.715E7</v>
      </c>
      <c r="N21" s="21" t="n">
        <f>48950000</f>
        <v>4.895E7</v>
      </c>
      <c r="O21" s="36" t="n">
        <f>48950000</f>
        <v>4.895E7</v>
      </c>
    </row>
    <row r="22" spans="1:15" ht="24.9" customHeight="1">
      <c r="A22" s="38"/>
      <c r="B22" s="62"/>
      <c r="C22" s="20" t="s">
        <v>17</v>
      </c>
      <c r="D22" s="21" t="n">
        <f>700</f>
        <v>700.0</v>
      </c>
      <c r="E22" s="36" t="n">
        <f>700</f>
        <v>700.0</v>
      </c>
      <c r="F22" s="21" t="n">
        <f>400</f>
        <v>400.0</v>
      </c>
      <c r="G22" s="36" t="n">
        <f>400</f>
        <v>400.0</v>
      </c>
      <c r="H22" s="21" t="n">
        <f>1100</f>
        <v>1100.0</v>
      </c>
      <c r="I22" s="36" t="n">
        <f>1100</f>
        <v>1100.0</v>
      </c>
      <c r="J22" s="21" t="n">
        <f>177500000</f>
        <v>1.775E8</v>
      </c>
      <c r="K22" s="36" t="n">
        <f>177500000</f>
        <v>1.775E8</v>
      </c>
      <c r="L22" s="21" t="n">
        <f>361000000</f>
        <v>3.61E8</v>
      </c>
      <c r="M22" s="36" t="n">
        <f>361000000</f>
        <v>3.61E8</v>
      </c>
      <c r="N22" s="21" t="n">
        <f>538500000</f>
        <v>5.385E8</v>
      </c>
      <c r="O22" s="36" t="n">
        <f>538500000</f>
        <v>5.385E8</v>
      </c>
    </row>
    <row r="23" spans="1:15" ht="24.9" customHeight="1">
      <c r="A23" s="38"/>
      <c r="B23" s="62"/>
      <c r="C23" s="24" t="s">
        <v>18</v>
      </c>
      <c r="D23" s="25" t="n">
        <f>870</f>
        <v>870.0</v>
      </c>
      <c r="E23" s="37" t="n">
        <f>870</f>
        <v>870.0</v>
      </c>
      <c r="F23" s="25" t="n">
        <f>470</f>
        <v>470.0</v>
      </c>
      <c r="G23" s="37" t="n">
        <f>470</f>
        <v>470.0</v>
      </c>
      <c r="H23" s="25" t="n">
        <f>1340</f>
        <v>1340.0</v>
      </c>
      <c r="I23" s="37" t="n">
        <f>1340</f>
        <v>1340.0</v>
      </c>
      <c r="J23" s="25" t="n">
        <f>209300000</f>
        <v>2.093E8</v>
      </c>
      <c r="K23" s="37" t="n">
        <f>209300000</f>
        <v>2.093E8</v>
      </c>
      <c r="L23" s="25" t="n">
        <f>378150000</f>
        <v>3.7815E8</v>
      </c>
      <c r="M23" s="37" t="n">
        <f>378150000</f>
        <v>3.7815E8</v>
      </c>
      <c r="N23" s="25" t="n">
        <f>587450000</f>
        <v>5.8745E8</v>
      </c>
      <c r="O23" s="37" t="n">
        <f>587450000</f>
        <v>5.8745E8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</f>
        <v>5.0</v>
      </c>
      <c r="E37" s="22" t="n">
        <f>0</f>
        <v>0.0</v>
      </c>
      <c r="F37" s="21" t="n">
        <f>94</f>
        <v>94.0</v>
      </c>
      <c r="G37" s="22" t="n">
        <f>55</f>
        <v>55.0</v>
      </c>
      <c r="H37" s="21" t="n">
        <f>99</f>
        <v>99.0</v>
      </c>
      <c r="I37" s="22" t="n">
        <f>55</f>
        <v>55.0</v>
      </c>
      <c r="J37" s="21" t="n">
        <f>100000</f>
        <v>100000.0</v>
      </c>
      <c r="K37" s="22" t="n">
        <f>0</f>
        <v>0.0</v>
      </c>
      <c r="L37" s="21" t="n">
        <f>16040000</f>
        <v>1.604E7</v>
      </c>
      <c r="M37" s="22" t="n">
        <f>7050000</f>
        <v>7050000.0</v>
      </c>
      <c r="N37" s="21" t="n">
        <f>16140000</f>
        <v>1.614E7</v>
      </c>
      <c r="O37" s="22" t="n">
        <f>7050000</f>
        <v>7050000.0</v>
      </c>
    </row>
    <row r="38" spans="1:15" ht="24.9" customHeight="1">
      <c r="A38" s="38"/>
      <c r="B38" s="62"/>
      <c r="C38" s="20" t="s">
        <v>17</v>
      </c>
      <c r="D38" s="21" t="n">
        <f>73</f>
        <v>73.0</v>
      </c>
      <c r="E38" s="36" t="n">
        <f>0</f>
        <v>0.0</v>
      </c>
      <c r="F38" s="21" t="n">
        <f>49</f>
        <v>49.0</v>
      </c>
      <c r="G38" s="36" t="n">
        <f>0</f>
        <v>0.0</v>
      </c>
      <c r="H38" s="21" t="n">
        <f>122</f>
        <v>122.0</v>
      </c>
      <c r="I38" s="36" t="n">
        <f>0</f>
        <v>0.0</v>
      </c>
      <c r="J38" s="21" t="n">
        <f>9680000</f>
        <v>9680000.0</v>
      </c>
      <c r="K38" s="36" t="n">
        <f>0</f>
        <v>0.0</v>
      </c>
      <c r="L38" s="21" t="n">
        <f>3070000</f>
        <v>3070000.0</v>
      </c>
      <c r="M38" s="36" t="n">
        <f>0</f>
        <v>0.0</v>
      </c>
      <c r="N38" s="21" t="n">
        <f>12750000</f>
        <v>1.275E7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78</f>
        <v>78.0</v>
      </c>
      <c r="E39" s="37" t="n">
        <f>0</f>
        <v>0.0</v>
      </c>
      <c r="F39" s="25" t="n">
        <f>143</f>
        <v>143.0</v>
      </c>
      <c r="G39" s="37" t="n">
        <f>55</f>
        <v>55.0</v>
      </c>
      <c r="H39" s="25" t="n">
        <f>221</f>
        <v>221.0</v>
      </c>
      <c r="I39" s="37" t="n">
        <f>55</f>
        <v>55.0</v>
      </c>
      <c r="J39" s="25" t="n">
        <f>9780000</f>
        <v>9780000.0</v>
      </c>
      <c r="K39" s="37" t="n">
        <f>0</f>
        <v>0.0</v>
      </c>
      <c r="L39" s="25" t="n">
        <f>19110000</f>
        <v>1.911E7</v>
      </c>
      <c r="M39" s="37" t="n">
        <f>7050000</f>
        <v>7050000.0</v>
      </c>
      <c r="N39" s="25" t="n">
        <f>28890000</f>
        <v>2.889E7</v>
      </c>
      <c r="O39" s="37" t="n">
        <f>7050000</f>
        <v>7050000.0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6015</f>
        <v>6015.0</v>
      </c>
      <c r="E41" s="36" t="n">
        <f>5300</f>
        <v>5300.0</v>
      </c>
      <c r="F41" s="21" t="n">
        <f>3636</f>
        <v>3636.0</v>
      </c>
      <c r="G41" s="36" t="n">
        <f>0</f>
        <v>0.0</v>
      </c>
      <c r="H41" s="21" t="n">
        <f>9651</f>
        <v>9651.0</v>
      </c>
      <c r="I41" s="36" t="n">
        <f>5300</f>
        <v>5300.0</v>
      </c>
      <c r="J41" s="21" t="n">
        <f>67220115</f>
        <v>6.7220115E7</v>
      </c>
      <c r="K41" s="36" t="n">
        <f>60950000</f>
        <v>6.095E7</v>
      </c>
      <c r="L41" s="21" t="n">
        <f>3818480</f>
        <v>3818480.0</v>
      </c>
      <c r="M41" s="36" t="n">
        <f>0</f>
        <v>0.0</v>
      </c>
      <c r="N41" s="21" t="n">
        <f>71038595</f>
        <v>7.1038595E7</v>
      </c>
      <c r="O41" s="36" t="n">
        <f>60950000</f>
        <v>6.095E7</v>
      </c>
    </row>
    <row r="42" spans="1:15" ht="24.9" customHeight="1">
      <c r="A42" s="38"/>
      <c r="B42" s="62"/>
      <c r="C42" s="20" t="s">
        <v>17</v>
      </c>
      <c r="D42" s="21" t="n">
        <f>583</f>
        <v>583.0</v>
      </c>
      <c r="E42" s="36" t="n">
        <f>0</f>
        <v>0.0</v>
      </c>
      <c r="F42" s="21" t="n">
        <f>506</f>
        <v>506.0</v>
      </c>
      <c r="G42" s="36" t="n">
        <f>0</f>
        <v>0.0</v>
      </c>
      <c r="H42" s="21" t="n">
        <f>1089</f>
        <v>1089.0</v>
      </c>
      <c r="I42" s="36" t="n">
        <f>0</f>
        <v>0.0</v>
      </c>
      <c r="J42" s="21" t="n">
        <f>19235990</f>
        <v>1.923599E7</v>
      </c>
      <c r="K42" s="36" t="n">
        <f>0</f>
        <v>0.0</v>
      </c>
      <c r="L42" s="21" t="n">
        <f>13221590</f>
        <v>1.322159E7</v>
      </c>
      <c r="M42" s="36" t="n">
        <f>0</f>
        <v>0.0</v>
      </c>
      <c r="N42" s="21" t="n">
        <f>32457580</f>
        <v>3.245758E7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6598</f>
        <v>6598.0</v>
      </c>
      <c r="E43" s="37" t="n">
        <f>5300</f>
        <v>5300.0</v>
      </c>
      <c r="F43" s="25" t="n">
        <f>4142</f>
        <v>4142.0</v>
      </c>
      <c r="G43" s="37" t="n">
        <f>0</f>
        <v>0.0</v>
      </c>
      <c r="H43" s="25" t="n">
        <f>10740</f>
        <v>10740.0</v>
      </c>
      <c r="I43" s="37" t="n">
        <f>5300</f>
        <v>5300.0</v>
      </c>
      <c r="J43" s="25" t="n">
        <f>86456105</f>
        <v>8.6456105E7</v>
      </c>
      <c r="K43" s="37" t="n">
        <f>60950000</f>
        <v>6.095E7</v>
      </c>
      <c r="L43" s="25" t="n">
        <f>17040070</f>
        <v>1.704007E7</v>
      </c>
      <c r="M43" s="37" t="n">
        <f>0</f>
        <v>0.0</v>
      </c>
      <c r="N43" s="25" t="n">
        <f>103496175</f>
        <v>1.03496175E8</v>
      </c>
      <c r="O43" s="37" t="n">
        <f>60950000</f>
        <v>6.095E7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