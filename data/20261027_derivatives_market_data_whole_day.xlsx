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<sst xmlns="http://schemas.openxmlformats.org/spreadsheetml/2006/main" count="528" uniqueCount="129">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</sst>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DATE(2026,10,27)</f>
        <v>46322.0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DATE(2026,10,27)</f>
        <v>46322.0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924797.0</f>
        <v>924797.0</v>
      </c>
      <c r="E12" s="18" t="n">
        <f>36272.0</f>
        <v>36272.0</v>
      </c>
      <c r="F12" s="19" t="n">
        <f>1.0</f>
        <v>1.0</v>
      </c>
      <c r="G12" s="17" t="n">
        <f>5468426899183.0</f>
        <v>5.468426899183E12</v>
      </c>
      <c r="H12" s="18" t="n">
        <f>332893737208.0</f>
        <v>3.32893737208E11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518208.0</f>
        <v>518208.0</v>
      </c>
      <c r="E13" s="22" t="n">
        <f>19817.0</f>
        <v>19817.0</v>
      </c>
      <c r="F13" s="23" t="n">
        <f>1.0</f>
        <v>1.0</v>
      </c>
      <c r="G13" s="21" t="n">
        <f>4897825276245.0</f>
        <v>4.897825276245E12</v>
      </c>
      <c r="H13" s="22" t="n">
        <f>378244889820.0</f>
        <v>3.7824488982E11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492664.0</f>
        <v>492664.0</v>
      </c>
      <c r="E14" s="22" t="n">
        <f>32095.0</f>
        <v>32095.0</v>
      </c>
      <c r="F14" s="23" t="n">
        <f>1.0</f>
        <v>1.0</v>
      </c>
      <c r="G14" s="21" t="n">
        <f>5610538958270.0</f>
        <v>5.61053895827E12</v>
      </c>
      <c r="H14" s="22" t="n">
        <f>882546280320.0</f>
        <v>8.8254628032E11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1935669.0</f>
        <v>1935669.0</v>
      </c>
      <c r="E15" s="26" t="n">
        <f>88184.0</f>
        <v>88184.0</v>
      </c>
      <c r="F15" s="27" t="n">
        <f>1.0</f>
        <v>1.0</v>
      </c>
      <c r="G15" s="25" t="n">
        <f>15976791133698.0</f>
        <v>1.5976791133698E13</v>
      </c>
      <c r="H15" s="26" t="n">
        <f>1593684907348.0</f>
        <v>1.593684907348E12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13189.0</f>
        <v>13189.0</v>
      </c>
      <c r="E16" s="18" t="n">
        <f>326.0</f>
        <v>326.0</v>
      </c>
      <c r="F16" s="19" t="n">
        <f>0.014</f>
        <v>0.014</v>
      </c>
      <c r="G16" s="17" t="n">
        <f>1609426764375.0</f>
        <v>1.609426764375E12</v>
      </c>
      <c r="H16" s="18" t="n">
        <f>41274170000.0</f>
        <v>4.127417E10</v>
      </c>
      <c r="I16" s="19" t="n">
        <f>0.294</f>
        <v>0.294</v>
      </c>
    </row>
    <row r="17" spans="1:9" ht="24.9" customHeight="1">
      <c r="A17" s="41"/>
      <c r="B17" s="39"/>
      <c r="C17" s="20" t="s">
        <v>16</v>
      </c>
      <c r="D17" s="21" t="n">
        <f>17852.0</f>
        <v>17852.0</v>
      </c>
      <c r="E17" s="22" t="n">
        <f>1644.0</f>
        <v>1644.0</v>
      </c>
      <c r="F17" s="23" t="n">
        <f>0.034</f>
        <v>0.034</v>
      </c>
      <c r="G17" s="21" t="n">
        <f>1792014953125.0</f>
        <v>1.792014953125E12</v>
      </c>
      <c r="H17" s="22" t="n">
        <f>207965160000.0</f>
        <v>2.0796516E11</v>
      </c>
      <c r="I17" s="23" t="n">
        <f>0.366</f>
        <v>0.366</v>
      </c>
    </row>
    <row r="18" spans="1:9" ht="24.9" customHeight="1">
      <c r="A18" s="41"/>
      <c r="B18" s="39"/>
      <c r="C18" s="20" t="s">
        <v>17</v>
      </c>
      <c r="D18" s="21" t="n">
        <f>18610.0</f>
        <v>18610.0</v>
      </c>
      <c r="E18" s="22" t="n">
        <f>2750.0</f>
        <v>2750.0</v>
      </c>
      <c r="F18" s="23" t="n">
        <f>0.038</f>
        <v>0.038</v>
      </c>
      <c r="G18" s="21" t="n">
        <f>1919784402750.0</f>
        <v>1.91978440275E12</v>
      </c>
      <c r="H18" s="22" t="n">
        <f>348003980000.0</f>
        <v>3.4800398E11</v>
      </c>
      <c r="I18" s="23" t="n">
        <f>0.342</f>
        <v>0.342</v>
      </c>
    </row>
    <row r="19" spans="1:9" ht="24.9" customHeight="1">
      <c r="A19" s="41"/>
      <c r="B19" s="39"/>
      <c r="C19" s="24" t="s">
        <v>18</v>
      </c>
      <c r="D19" s="25" t="n">
        <f>49651.0</f>
        <v>49651.0</v>
      </c>
      <c r="E19" s="26" t="n">
        <f>4720.0</f>
        <v>4720.0</v>
      </c>
      <c r="F19" s="27" t="n">
        <f>0.026</f>
        <v>0.026</v>
      </c>
      <c r="G19" s="25" t="n">
        <f>5321226120250.0</f>
        <v>5.32122612025E12</v>
      </c>
      <c r="H19" s="26" t="n">
        <f>597243310000.0</f>
        <v>5.9724331E11</v>
      </c>
      <c r="I19" s="27" t="n">
        <f>0.333</f>
        <v>0.333</v>
      </c>
    </row>
    <row r="20" spans="1:9" ht="24.9" customHeight="1">
      <c r="A20" s="41"/>
      <c r="B20" s="39" t="s">
        <v>21</v>
      </c>
      <c r="C20" s="16" t="s">
        <v>15</v>
      </c>
      <c r="D20" s="17" t="n">
        <f>881292.0</f>
        <v>881292.0</v>
      </c>
      <c r="E20" s="18" t="n">
        <f>35946.0</f>
        <v>35946.0</v>
      </c>
      <c r="F20" s="19" t="n">
        <f>0.953</f>
        <v>0.953</v>
      </c>
      <c r="G20" s="17" t="n">
        <f>3725296747758.0</f>
        <v>3.725296747758E12</v>
      </c>
      <c r="H20" s="18" t="n">
        <f>291619567208.0</f>
        <v>2.91619567208E11</v>
      </c>
      <c r="I20" s="19" t="n">
        <f>0.681</f>
        <v>0.681</v>
      </c>
    </row>
    <row r="21" spans="1:9" ht="24.9" customHeight="1">
      <c r="A21" s="41"/>
      <c r="B21" s="39"/>
      <c r="C21" s="20" t="s">
        <v>16</v>
      </c>
      <c r="D21" s="21" t="n">
        <f>495280.0</f>
        <v>495280.0</v>
      </c>
      <c r="E21" s="22" t="n">
        <f>18173.0</f>
        <v>18173.0</v>
      </c>
      <c r="F21" s="23" t="n">
        <f>0.956</f>
        <v>0.956</v>
      </c>
      <c r="G21" s="21" t="n">
        <f>3060734139720.0</f>
        <v>3.06073413972E12</v>
      </c>
      <c r="H21" s="22" t="n">
        <f>170279729820.0</f>
        <v>1.7027972982E11</v>
      </c>
      <c r="I21" s="23" t="n">
        <f>0.625</f>
        <v>0.625</v>
      </c>
    </row>
    <row r="22" spans="1:9" ht="24.9" customHeight="1">
      <c r="A22" s="41"/>
      <c r="B22" s="39"/>
      <c r="C22" s="20" t="s">
        <v>17</v>
      </c>
      <c r="D22" s="21" t="n">
        <f>465175.0</f>
        <v>465175.0</v>
      </c>
      <c r="E22" s="22" t="n">
        <f>28894.0</f>
        <v>28894.0</v>
      </c>
      <c r="F22" s="23" t="n">
        <f>0.944</f>
        <v>0.944</v>
      </c>
      <c r="G22" s="21" t="n">
        <f>3626760594760.0</f>
        <v>3.62676059476E12</v>
      </c>
      <c r="H22" s="22" t="n">
        <f>533447925760.0</f>
        <v>5.3344792576E11</v>
      </c>
      <c r="I22" s="23" t="n">
        <f>0.646</f>
        <v>0.646</v>
      </c>
    </row>
    <row r="23" spans="1:9" ht="24.9" customHeight="1">
      <c r="A23" s="41"/>
      <c r="B23" s="39"/>
      <c r="C23" s="24" t="s">
        <v>18</v>
      </c>
      <c r="D23" s="25" t="n">
        <f>1841747.0</f>
        <v>1841747.0</v>
      </c>
      <c r="E23" s="26" t="n">
        <f>83013.0</f>
        <v>83013.0</v>
      </c>
      <c r="F23" s="27" t="n">
        <f>0.951</f>
        <v>0.951</v>
      </c>
      <c r="G23" s="25" t="n">
        <f>10412791482238.0</f>
        <v>1.0412791482238E13</v>
      </c>
      <c r="H23" s="26" t="n">
        <f>995347222788.0</f>
        <v>9.95347222788E11</v>
      </c>
      <c r="I23" s="27" t="n">
        <f>0.652</f>
        <v>0.652</v>
      </c>
    </row>
    <row r="24" spans="1:9" ht="24.9" customHeight="1">
      <c r="A24" s="41"/>
      <c r="B24" s="39" t="s">
        <v>22</v>
      </c>
      <c r="C24" s="16" t="s">
        <v>15</v>
      </c>
      <c r="D24" s="17" t="n">
        <f>29812.0</f>
        <v>29812.0</v>
      </c>
      <c r="E24" s="18" t="n">
        <f>0.0</f>
        <v>0.0</v>
      </c>
      <c r="F24" s="19" t="n">
        <f>0.032</f>
        <v>0.032</v>
      </c>
      <c r="G24" s="17" t="n">
        <f>131156707550.0</f>
        <v>1.3115670755E11</v>
      </c>
      <c r="H24" s="18" t="n">
        <f>0.0</f>
        <v>0.0</v>
      </c>
      <c r="I24" s="19" t="n">
        <f>0.024</f>
        <v>0.024</v>
      </c>
    </row>
    <row r="25" spans="1:9" ht="24.9" customHeight="1">
      <c r="A25" s="41"/>
      <c r="B25" s="39"/>
      <c r="C25" s="20" t="s">
        <v>16</v>
      </c>
      <c r="D25" s="21" t="n">
        <f>4861.0</f>
        <v>4861.0</v>
      </c>
      <c r="E25" s="22" t="n">
        <f>0.0</f>
        <v>0.0</v>
      </c>
      <c r="F25" s="23" t="n">
        <f>0.009</f>
        <v>0.009</v>
      </c>
      <c r="G25" s="21" t="n">
        <f>44013621900.0</f>
        <v>4.40136219E10</v>
      </c>
      <c r="H25" s="22" t="n">
        <f>0.0</f>
        <v>0.0</v>
      </c>
      <c r="I25" s="23" t="n">
        <f>0.009</f>
        <v>0.009</v>
      </c>
    </row>
    <row r="26" spans="1:9" ht="24.9" customHeight="1">
      <c r="A26" s="41"/>
      <c r="B26" s="39"/>
      <c r="C26" s="20" t="s">
        <v>17</v>
      </c>
      <c r="D26" s="21" t="n">
        <f>7300.0</f>
        <v>7300.0</v>
      </c>
      <c r="E26" s="22" t="n">
        <f>79.0</f>
        <v>79.0</v>
      </c>
      <c r="F26" s="23" t="n">
        <f>0.015</f>
        <v>0.015</v>
      </c>
      <c r="G26" s="21" t="n">
        <f>57179043200.0</f>
        <v>5.71790432E10</v>
      </c>
      <c r="H26" s="22" t="n">
        <f>323268000.0</f>
        <v>3.23268E8</v>
      </c>
      <c r="I26" s="23" t="n">
        <f>0.01</f>
        <v>0.01</v>
      </c>
    </row>
    <row r="27" spans="1:9" ht="24.9" customHeight="1">
      <c r="A27" s="42"/>
      <c r="B27" s="39"/>
      <c r="C27" s="24" t="s">
        <v>18</v>
      </c>
      <c r="D27" s="25" t="n">
        <f>41973.0</f>
        <v>41973.0</v>
      </c>
      <c r="E27" s="26" t="n">
        <f>79.0</f>
        <v>79.0</v>
      </c>
      <c r="F27" s="27" t="n">
        <f>0.022</f>
        <v>0.022</v>
      </c>
      <c r="G27" s="25" t="n">
        <f>232349372650.0</f>
        <v>2.3234937265E11</v>
      </c>
      <c r="H27" s="26" t="n">
        <f>323268000.0</f>
        <v>3.23268E8</v>
      </c>
      <c r="I27" s="27" t="n">
        <f>0.015</f>
        <v>0.015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504.0</f>
        <v>504.0</v>
      </c>
      <c r="E28" s="18" t="n">
        <f>0.0</f>
        <v>0.0</v>
      </c>
      <c r="F28" s="19" t="n">
        <f>0.001</f>
        <v>0.001</v>
      </c>
      <c r="G28" s="17" t="n">
        <f>2546679500.0</f>
        <v>2.5466795E9</v>
      </c>
      <c r="H28" s="18" t="n">
        <f>0.0</f>
        <v>0.0</v>
      </c>
      <c r="I28" s="19" t="n">
        <f>0.0</f>
        <v>0.0</v>
      </c>
    </row>
    <row r="29" spans="1:9" ht="24.9" customHeight="1">
      <c r="A29" s="38"/>
      <c r="B29" s="39"/>
      <c r="C29" s="20" t="s">
        <v>16</v>
      </c>
      <c r="D29" s="21" t="n">
        <f>215.0</f>
        <v>215.0</v>
      </c>
      <c r="E29" s="22" t="n">
        <f>0.0</f>
        <v>0.0</v>
      </c>
      <c r="F29" s="23" t="n">
        <f>0.0</f>
        <v>0.0</v>
      </c>
      <c r="G29" s="21" t="n">
        <f>1062561500.0</f>
        <v>1.0625615E9</v>
      </c>
      <c r="H29" s="22" t="n">
        <f>0.0</f>
        <v>0.0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1579.0</f>
        <v>1579.0</v>
      </c>
      <c r="E30" s="22" t="n">
        <f>372.0</f>
        <v>372.0</v>
      </c>
      <c r="F30" s="23" t="n">
        <f>0.003</f>
        <v>0.003</v>
      </c>
      <c r="G30" s="21" t="n">
        <f>6814917560.0</f>
        <v>6.81491756E9</v>
      </c>
      <c r="H30" s="22" t="n">
        <f>771106560.0</f>
        <v>7.7110656E8</v>
      </c>
      <c r="I30" s="23" t="n">
        <f>0.001</f>
        <v>0.001</v>
      </c>
    </row>
    <row r="31" spans="1:9" ht="24.9" customHeight="1">
      <c r="A31" s="38"/>
      <c r="B31" s="39"/>
      <c r="C31" s="24" t="s">
        <v>18</v>
      </c>
      <c r="D31" s="25" t="n">
        <f>2298.0</f>
        <v>2298.0</v>
      </c>
      <c r="E31" s="26" t="n">
        <f>372.0</f>
        <v>372.0</v>
      </c>
      <c r="F31" s="27" t="n">
        <f>0.001</f>
        <v>0.001</v>
      </c>
      <c r="G31" s="25" t="n">
        <f>10424158560.0</f>
        <v>1.042415856E10</v>
      </c>
      <c r="H31" s="26" t="n">
        <f>771106560.0</f>
        <v>7.7110656E8</v>
      </c>
      <c r="I31" s="27" t="n">
        <f>0.001</f>
        <v>0.001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46322.0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46322.0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11896</f>
        <v>11896.0</v>
      </c>
      <c r="E11" s="18" t="n">
        <f>1838</f>
        <v>1838.0</v>
      </c>
      <c r="F11" s="19" t="n">
        <f>1</f>
        <v>1.0</v>
      </c>
      <c r="G11" s="17" t="n">
        <f>1585442870</f>
        <v>1.58544287E9</v>
      </c>
      <c r="H11" s="18" t="n">
        <f>635380470</f>
        <v>6.3538047E8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24051</f>
        <v>24051.0</v>
      </c>
      <c r="E12" s="22" t="n">
        <f>7884</f>
        <v>7884.0</v>
      </c>
      <c r="F12" s="23" t="n">
        <f>1</f>
        <v>1.0</v>
      </c>
      <c r="G12" s="21" t="n">
        <f>5625518440</f>
        <v>5.62551844E9</v>
      </c>
      <c r="H12" s="22" t="n">
        <f>4330776250</f>
        <v>4.33077625E9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63533</f>
        <v>63533.0</v>
      </c>
      <c r="E13" s="22" t="n">
        <f>45855</f>
        <v>45855.0</v>
      </c>
      <c r="F13" s="23" t="n">
        <f>1</f>
        <v>1.0</v>
      </c>
      <c r="G13" s="21" t="n">
        <f>29202701700</f>
        <v>2.92027017E10</v>
      </c>
      <c r="H13" s="22" t="n">
        <f>27240121220</f>
        <v>2.724012122E10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99480</f>
        <v>99480.0</v>
      </c>
      <c r="E14" s="26" t="n">
        <f>55577</f>
        <v>55577.0</v>
      </c>
      <c r="F14" s="27" t="n">
        <f>1</f>
        <v>1.0</v>
      </c>
      <c r="G14" s="25" t="n">
        <f>36413663010</f>
        <v>3.641366301E10</v>
      </c>
      <c r="H14" s="26" t="n">
        <f>32206277940</f>
        <v>3.220627794E10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2</f>
        <v>2.0</v>
      </c>
      <c r="E15" s="18" t="n">
        <f>0</f>
        <v>0.0</v>
      </c>
      <c r="F15" s="19" t="n">
        <f>0</f>
        <v>0.0</v>
      </c>
      <c r="G15" s="17" t="n">
        <f>140000</f>
        <v>140000.0</v>
      </c>
      <c r="H15" s="18" t="n">
        <f>0</f>
        <v>0.0</v>
      </c>
      <c r="I15" s="19" t="n">
        <f>0</f>
        <v>0.0</v>
      </c>
    </row>
    <row r="16" spans="1:9" ht="24.9" customHeight="1">
      <c r="A16" s="41"/>
      <c r="B16" s="39"/>
      <c r="C16" s="20" t="s">
        <v>16</v>
      </c>
      <c r="D16" s="21" t="n">
        <f>20</f>
        <v>20.0</v>
      </c>
      <c r="E16" s="22" t="n">
        <f>0</f>
        <v>0.0</v>
      </c>
      <c r="F16" s="23" t="n">
        <f>0.001</f>
        <v>0.001</v>
      </c>
      <c r="G16" s="21" t="n">
        <f>2400000</f>
        <v>2400000.0</v>
      </c>
      <c r="H16" s="22" t="n">
        <f>0</f>
        <v>0.0</v>
      </c>
      <c r="I16" s="23" t="n">
        <f>0</f>
        <v>0.0</v>
      </c>
    </row>
    <row r="17" spans="1:9" ht="24.9" customHeight="1">
      <c r="A17" s="41"/>
      <c r="B17" s="39"/>
      <c r="C17" s="20" t="s">
        <v>17</v>
      </c>
      <c r="D17" s="21" t="n">
        <f>75</f>
        <v>75.0</v>
      </c>
      <c r="E17" s="22" t="n">
        <f>75</f>
        <v>75.0</v>
      </c>
      <c r="F17" s="23" t="n">
        <f>0.001</f>
        <v>0.001</v>
      </c>
      <c r="G17" s="21" t="n">
        <f>9750000</f>
        <v>9750000.0</v>
      </c>
      <c r="H17" s="22" t="n">
        <f>9750000</f>
        <v>9750000.0</v>
      </c>
      <c r="I17" s="23" t="n">
        <f>0</f>
        <v>0.0</v>
      </c>
    </row>
    <row r="18" spans="1:9" ht="24.9" customHeight="1">
      <c r="A18" s="41"/>
      <c r="B18" s="39"/>
      <c r="C18" s="24" t="s">
        <v>18</v>
      </c>
      <c r="D18" s="25" t="n">
        <f>97</f>
        <v>97.0</v>
      </c>
      <c r="E18" s="26" t="n">
        <f>75</f>
        <v>75.0</v>
      </c>
      <c r="F18" s="27" t="n">
        <f>0.001</f>
        <v>0.001</v>
      </c>
      <c r="G18" s="25" t="n">
        <f>12290000</f>
        <v>1.229E7</v>
      </c>
      <c r="H18" s="26" t="n">
        <f>9750000</f>
        <v>9750000.0</v>
      </c>
      <c r="I18" s="27" t="n">
        <f>0</f>
        <v>0.0</v>
      </c>
    </row>
    <row r="19" spans="1:9" ht="24.9" customHeight="1">
      <c r="A19" s="41"/>
      <c r="B19" s="39" t="s">
        <v>31</v>
      </c>
      <c r="C19" s="16" t="s">
        <v>15</v>
      </c>
      <c r="D19" s="17" t="n">
        <f>11894</f>
        <v>11894.0</v>
      </c>
      <c r="E19" s="18" t="n">
        <f>1838</f>
        <v>1838.0</v>
      </c>
      <c r="F19" s="19" t="n">
        <f>1</f>
        <v>1.0</v>
      </c>
      <c r="G19" s="17" t="n">
        <f>1585302870</f>
        <v>1.58530287E9</v>
      </c>
      <c r="H19" s="18" t="n">
        <f>635380470</f>
        <v>6.3538047E8</v>
      </c>
      <c r="I19" s="19" t="n">
        <f>1</f>
        <v>1.0</v>
      </c>
    </row>
    <row r="20" spans="1:9" ht="24.9" customHeight="1">
      <c r="A20" s="41"/>
      <c r="B20" s="39"/>
      <c r="C20" s="20" t="s">
        <v>16</v>
      </c>
      <c r="D20" s="21" t="n">
        <f>18965</f>
        <v>18965.0</v>
      </c>
      <c r="E20" s="22" t="n">
        <f>3884</f>
        <v>3884.0</v>
      </c>
      <c r="F20" s="23" t="n">
        <f>0.789</f>
        <v>0.789</v>
      </c>
      <c r="G20" s="21" t="n">
        <f>5580687250</f>
        <v>5.58068725E9</v>
      </c>
      <c r="H20" s="22" t="n">
        <f>4317136250</f>
        <v>4.31713625E9</v>
      </c>
      <c r="I20" s="23" t="n">
        <f>0.992</f>
        <v>0.992</v>
      </c>
    </row>
    <row r="21" spans="1:9" ht="24.9" customHeight="1">
      <c r="A21" s="41"/>
      <c r="B21" s="39"/>
      <c r="C21" s="20" t="s">
        <v>17</v>
      </c>
      <c r="D21" s="21" t="n">
        <f>31800</f>
        <v>31800.0</v>
      </c>
      <c r="E21" s="22" t="n">
        <f>15780</f>
        <v>15780.0</v>
      </c>
      <c r="F21" s="23" t="n">
        <f>0.501</f>
        <v>0.501</v>
      </c>
      <c r="G21" s="21" t="n">
        <f>29176044220</f>
        <v>2.917604422E10</v>
      </c>
      <c r="H21" s="22" t="n">
        <f>27229381220</f>
        <v>2.722938122E10</v>
      </c>
      <c r="I21" s="23" t="n">
        <f>0.999</f>
        <v>0.999</v>
      </c>
    </row>
    <row r="22" spans="1:9" ht="24.9" customHeight="1">
      <c r="A22" s="41"/>
      <c r="B22" s="39"/>
      <c r="C22" s="24" t="s">
        <v>18</v>
      </c>
      <c r="D22" s="25" t="n">
        <f>62659</f>
        <v>62659.0</v>
      </c>
      <c r="E22" s="26" t="n">
        <f>21502</f>
        <v>21502.0</v>
      </c>
      <c r="F22" s="27" t="n">
        <f>0.63</f>
        <v>0.63</v>
      </c>
      <c r="G22" s="25" t="n">
        <f>36342034340</f>
        <v>3.634203434E10</v>
      </c>
      <c r="H22" s="26" t="n">
        <f>32181897940</f>
        <v>3.218189794E10</v>
      </c>
      <c r="I22" s="27" t="n">
        <f>0.998</f>
        <v>0.998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5066</f>
        <v>5066.0</v>
      </c>
      <c r="E24" s="22" t="n">
        <f>4000</f>
        <v>4000.0</v>
      </c>
      <c r="F24" s="23" t="n">
        <f>0.211</f>
        <v>0.211</v>
      </c>
      <c r="G24" s="21" t="n">
        <f>42431190</f>
        <v>4.243119E7</v>
      </c>
      <c r="H24" s="22" t="n">
        <f>13640000</f>
        <v>1.364E7</v>
      </c>
      <c r="I24" s="23" t="n">
        <f>0.008</f>
        <v>0.008</v>
      </c>
    </row>
    <row r="25" spans="1:9" ht="24.9" customHeight="1">
      <c r="A25" s="41"/>
      <c r="B25" s="39"/>
      <c r="C25" s="20" t="s">
        <v>17</v>
      </c>
      <c r="D25" s="21" t="n">
        <f>31658</f>
        <v>31658.0</v>
      </c>
      <c r="E25" s="22" t="n">
        <f>30000</f>
        <v>30000.0</v>
      </c>
      <c r="F25" s="23" t="n">
        <f>0.498</f>
        <v>0.498</v>
      </c>
      <c r="G25" s="21" t="n">
        <f>16907480</f>
        <v>1.690748E7</v>
      </c>
      <c r="H25" s="22" t="n">
        <f>990000</f>
        <v>990000.0</v>
      </c>
      <c r="I25" s="23" t="n">
        <f>0.001</f>
        <v>0.001</v>
      </c>
    </row>
    <row r="26" spans="1:9" ht="24.9" customHeight="1">
      <c r="A26" s="41"/>
      <c r="B26" s="39"/>
      <c r="C26" s="24" t="s">
        <v>18</v>
      </c>
      <c r="D26" s="25" t="n">
        <f>36724</f>
        <v>36724.0</v>
      </c>
      <c r="E26" s="26" t="n">
        <f>34000</f>
        <v>34000.0</v>
      </c>
      <c r="F26" s="27" t="n">
        <f>0.369</f>
        <v>0.369</v>
      </c>
      <c r="G26" s="25" t="n">
        <f>59338670</f>
        <v>5.933867E7</v>
      </c>
      <c r="H26" s="26" t="n">
        <f>14630000</f>
        <v>1.463E7</v>
      </c>
      <c r="I26" s="27" t="n">
        <f>0.002</f>
        <v>0.002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46322.0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46322.0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14169.0</v>
      </c>
      <c r="F12" s="18" t="n">
        <f>1178</f>
        <v>1178.0</v>
      </c>
      <c r="G12" s="17" t="n">
        <v>8.905865305E11</v>
      </c>
      <c r="H12" s="18" t="n">
        <f>73647480500</f>
        <v>7.36474805E10</v>
      </c>
    </row>
    <row r="13" spans="1:8" ht="24.9" customHeight="1">
      <c r="A13" s="51"/>
      <c r="B13" s="57"/>
      <c r="C13" s="39"/>
      <c r="D13" s="20" t="s">
        <v>16</v>
      </c>
      <c r="E13" s="21" t="n">
        <v>10617.0</v>
      </c>
      <c r="F13" s="22" t="n">
        <f>786</f>
        <v>786.0</v>
      </c>
      <c r="G13" s="21" t="n">
        <v>6.738586354E11</v>
      </c>
      <c r="H13" s="22" t="n">
        <f>49826275400</f>
        <v>4.98262754E10</v>
      </c>
    </row>
    <row r="14" spans="1:8" ht="24.9" customHeight="1">
      <c r="A14" s="51"/>
      <c r="B14" s="57"/>
      <c r="C14" s="39"/>
      <c r="D14" s="20" t="s">
        <v>17</v>
      </c>
      <c r="E14" s="21" t="n">
        <v>16458.0</v>
      </c>
      <c r="F14" s="22" t="n">
        <f>3811</f>
        <v>3811.0</v>
      </c>
      <c r="G14" s="21" t="n">
        <v>1.04395168026E12</v>
      </c>
      <c r="H14" s="22" t="n">
        <f>241979190260</f>
        <v>2.4197919026E11</v>
      </c>
    </row>
    <row r="15" spans="1:8" ht="24.9" customHeight="1">
      <c r="A15" s="51"/>
      <c r="B15" s="57"/>
      <c r="C15" s="39"/>
      <c r="D15" s="24" t="s">
        <v>18</v>
      </c>
      <c r="E15" s="25" t="n">
        <v>41244.0</v>
      </c>
      <c r="F15" s="26" t="n">
        <f>5775</f>
        <v>5775.0</v>
      </c>
      <c r="G15" s="25" t="n">
        <v>2.60839684616E12</v>
      </c>
      <c r="H15" s="26" t="n">
        <f>365452946160</f>
        <v>3.6545294616E11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307661.0</v>
      </c>
      <c r="F16" s="18" t="n">
        <f>34419</f>
        <v>34419.0</v>
      </c>
      <c r="G16" s="17" t="n">
        <v>1.933738520248E12</v>
      </c>
      <c r="H16" s="18" t="n">
        <f>216286208248</f>
        <v>2.16286208248E11</v>
      </c>
    </row>
    <row r="17" spans="1:8" ht="24.9" customHeight="1">
      <c r="A17" s="51"/>
      <c r="B17" s="57"/>
      <c r="C17" s="39"/>
      <c r="D17" s="20" t="s">
        <v>16</v>
      </c>
      <c r="E17" s="21" t="n">
        <v>208578.0</v>
      </c>
      <c r="F17" s="22" t="n">
        <f>16817</f>
        <v>16817.0</v>
      </c>
      <c r="G17" s="21" t="n">
        <v>1.32401770822E12</v>
      </c>
      <c r="H17" s="22" t="n">
        <f>106748512720</f>
        <v>1.0674851272E11</v>
      </c>
    </row>
    <row r="18" spans="1:8" ht="24.9" customHeight="1">
      <c r="A18" s="51"/>
      <c r="B18" s="57"/>
      <c r="C18" s="39"/>
      <c r="D18" s="20" t="s">
        <v>17</v>
      </c>
      <c r="E18" s="21" t="n">
        <v>202850.0</v>
      </c>
      <c r="F18" s="22" t="n">
        <f>19805</f>
        <v>19805.0</v>
      </c>
      <c r="G18" s="21" t="n">
        <v>1.28641419795E12</v>
      </c>
      <c r="H18" s="22" t="n">
        <f>125613747950</f>
        <v>1.2561374795E11</v>
      </c>
    </row>
    <row r="19" spans="1:8" ht="24.9" customHeight="1">
      <c r="A19" s="51"/>
      <c r="B19" s="57"/>
      <c r="C19" s="39"/>
      <c r="D19" s="24" t="s">
        <v>18</v>
      </c>
      <c r="E19" s="25" t="n">
        <v>719089.0</v>
      </c>
      <c r="F19" s="26" t="n">
        <f>71041</f>
        <v>71041.0</v>
      </c>
      <c r="G19" s="25" t="n">
        <v>4.544170426418E12</v>
      </c>
      <c r="H19" s="26" t="n">
        <f>448648468918</f>
        <v>4.48648468918E11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537902.0</v>
      </c>
      <c r="F20" s="18" t="str">
        <f>"－"</f>
        <v>－</v>
      </c>
      <c r="G20" s="17" t="n">
        <v>3.381071174E11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243563.0</v>
      </c>
      <c r="F21" s="22" t="str">
        <f>"－"</f>
        <v>－</v>
      </c>
      <c r="G21" s="21" t="n">
        <v>1.5457939235E11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205922.0</v>
      </c>
      <c r="F22" s="22" t="str">
        <f>"－"</f>
        <v>－</v>
      </c>
      <c r="G22" s="21" t="n">
        <v>1.305828839E11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987387.0</v>
      </c>
      <c r="F23" s="26" t="str">
        <f>"－"</f>
        <v>－</v>
      </c>
      <c r="G23" s="25" t="n">
        <v>6.2326939365E11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13306.0</v>
      </c>
      <c r="F24" s="18" t="n">
        <f>9</f>
        <v>9.0</v>
      </c>
      <c r="G24" s="17" t="n">
        <v>5.32616938E11</v>
      </c>
      <c r="H24" s="18" t="n">
        <f>359743000</f>
        <v>3.59743E8</v>
      </c>
    </row>
    <row r="25" spans="1:8" ht="24.9" customHeight="1">
      <c r="A25" s="51"/>
      <c r="B25" s="57"/>
      <c r="C25" s="39"/>
      <c r="D25" s="20" t="s">
        <v>16</v>
      </c>
      <c r="E25" s="21" t="n">
        <v>21679.0</v>
      </c>
      <c r="F25" s="22" t="n">
        <f>319</f>
        <v>319.0</v>
      </c>
      <c r="G25" s="21" t="n">
        <v>8.67996299E11</v>
      </c>
      <c r="H25" s="22" t="n">
        <f>12744634000</f>
        <v>1.2744634E10</v>
      </c>
    </row>
    <row r="26" spans="1:8" ht="24.9" customHeight="1">
      <c r="A26" s="51"/>
      <c r="B26" s="57"/>
      <c r="C26" s="39"/>
      <c r="D26" s="20" t="s">
        <v>17</v>
      </c>
      <c r="E26" s="21" t="n">
        <v>28160.0</v>
      </c>
      <c r="F26" s="22" t="n">
        <f>4089</f>
        <v>4089.0</v>
      </c>
      <c r="G26" s="21" t="n">
        <v>1.1279922947E12</v>
      </c>
      <c r="H26" s="22" t="n">
        <f>163716224700</f>
        <v>1.637162247E11</v>
      </c>
    </row>
    <row r="27" spans="1:8" ht="24.9" customHeight="1">
      <c r="A27" s="51"/>
      <c r="B27" s="57"/>
      <c r="C27" s="39"/>
      <c r="D27" s="24" t="s">
        <v>18</v>
      </c>
      <c r="E27" s="25" t="n">
        <v>63145.0</v>
      </c>
      <c r="F27" s="26" t="n">
        <f>4417</f>
        <v>4417.0</v>
      </c>
      <c r="G27" s="25" t="n">
        <v>2.5286055317E12</v>
      </c>
      <c r="H27" s="26" t="n">
        <f>176820601700</f>
        <v>1.768206017E11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6159.0</v>
      </c>
      <c r="F28" s="18" t="n">
        <f>326</f>
        <v>326.0</v>
      </c>
      <c r="G28" s="17" t="n">
        <v>2.4652222E10</v>
      </c>
      <c r="H28" s="18" t="n">
        <f>1304254750</f>
        <v>1.30425475E9</v>
      </c>
    </row>
    <row r="29" spans="1:8" ht="24.9" customHeight="1">
      <c r="A29" s="51"/>
      <c r="B29" s="57"/>
      <c r="C29" s="39"/>
      <c r="D29" s="20" t="s">
        <v>16</v>
      </c>
      <c r="E29" s="21" t="n">
        <v>8976.0</v>
      </c>
      <c r="F29" s="22" t="n">
        <f>235</f>
        <v>235.0</v>
      </c>
      <c r="G29" s="21" t="n">
        <v>3.592544825E10</v>
      </c>
      <c r="H29" s="22" t="n">
        <f>940682000</f>
        <v>9.40682E8</v>
      </c>
    </row>
    <row r="30" spans="1:8" ht="24.9" customHeight="1">
      <c r="A30" s="51"/>
      <c r="B30" s="57"/>
      <c r="C30" s="39"/>
      <c r="D30" s="20" t="s">
        <v>17</v>
      </c>
      <c r="E30" s="21" t="n">
        <v>7567.0</v>
      </c>
      <c r="F30" s="22" t="n">
        <f>258</f>
        <v>258.0</v>
      </c>
      <c r="G30" s="21" t="n">
        <v>3.031229125E10</v>
      </c>
      <c r="H30" s="22" t="n">
        <f>1033369750</f>
        <v>1.03336975E9</v>
      </c>
    </row>
    <row r="31" spans="1:8" ht="24.9" customHeight="1">
      <c r="A31" s="51"/>
      <c r="B31" s="57"/>
      <c r="C31" s="39"/>
      <c r="D31" s="24" t="s">
        <v>18</v>
      </c>
      <c r="E31" s="25" t="n">
        <v>22702.0</v>
      </c>
      <c r="F31" s="26" t="n">
        <f>819</f>
        <v>819.0</v>
      </c>
      <c r="G31" s="25" t="n">
        <v>9.08899615E10</v>
      </c>
      <c r="H31" s="26" t="n">
        <f>3278306500</f>
        <v>3.2783065E9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904.0</v>
      </c>
      <c r="F36" s="18" t="n">
        <f>2</f>
        <v>2.0</v>
      </c>
      <c r="G36" s="17" t="n">
        <v>3.28946402E9</v>
      </c>
      <c r="H36" s="18" t="n">
        <f>7272020</f>
        <v>7272020.0</v>
      </c>
    </row>
    <row r="37" spans="1:8" ht="24.9" customHeight="1">
      <c r="A37" s="51"/>
      <c r="B37" s="57"/>
      <c r="C37" s="39"/>
      <c r="D37" s="20" t="s">
        <v>16</v>
      </c>
      <c r="E37" s="21" t="n">
        <v>992.0</v>
      </c>
      <c r="F37" s="22" t="n">
        <f>1</f>
        <v>1.0</v>
      </c>
      <c r="G37" s="21" t="n">
        <v>3.606674E9</v>
      </c>
      <c r="H37" s="22" t="n">
        <f>3628500</f>
        <v>3628500.0</v>
      </c>
    </row>
    <row r="38" spans="1:8" ht="24.9" customHeight="1">
      <c r="A38" s="51"/>
      <c r="B38" s="57"/>
      <c r="C38" s="39"/>
      <c r="D38" s="20" t="s">
        <v>17</v>
      </c>
      <c r="E38" s="21" t="n">
        <v>1248.0</v>
      </c>
      <c r="F38" s="22" t="n">
        <f>26</f>
        <v>26.0</v>
      </c>
      <c r="G38" s="21" t="n">
        <v>4.53634533E9</v>
      </c>
      <c r="H38" s="22" t="n">
        <f>94503830</f>
        <v>9.450383E7</v>
      </c>
    </row>
    <row r="39" spans="1:8" ht="24.9" customHeight="1">
      <c r="A39" s="51"/>
      <c r="B39" s="57"/>
      <c r="C39" s="39"/>
      <c r="D39" s="24" t="s">
        <v>18</v>
      </c>
      <c r="E39" s="25" t="n">
        <v>3144.0</v>
      </c>
      <c r="F39" s="26" t="n">
        <f>29</f>
        <v>29.0</v>
      </c>
      <c r="G39" s="25" t="n">
        <v>1.143248335E10</v>
      </c>
      <c r="H39" s="26" t="n">
        <f>105404350</f>
        <v>1.0540435E8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0.0</v>
      </c>
      <c r="F45" s="22" t="n">
        <f>0</f>
        <v>0.0</v>
      </c>
      <c r="G45" s="21" t="n">
        <v>0.0</v>
      </c>
      <c r="H45" s="22" t="n">
        <f>0</f>
        <v>0.0</v>
      </c>
    </row>
    <row r="46" spans="1:8" ht="24.9" customHeight="1">
      <c r="A46" s="51"/>
      <c r="B46" s="57"/>
      <c r="C46" s="39"/>
      <c r="D46" s="20" t="s">
        <v>17</v>
      </c>
      <c r="E46" s="21" t="n">
        <v>0.0</v>
      </c>
      <c r="F46" s="22" t="n">
        <f>0</f>
        <v>0.0</v>
      </c>
      <c r="G46" s="21" t="n">
        <v>0.0</v>
      </c>
      <c r="H46" s="22" t="n">
        <f>0</f>
        <v>0.0</v>
      </c>
    </row>
    <row r="47" spans="1:8" ht="24.9" customHeight="1">
      <c r="A47" s="51"/>
      <c r="B47" s="57"/>
      <c r="C47" s="39"/>
      <c r="D47" s="24" t="s">
        <v>18</v>
      </c>
      <c r="E47" s="25" t="n">
        <v>0.0</v>
      </c>
      <c r="F47" s="26" t="n">
        <f>0</f>
        <v>0.0</v>
      </c>
      <c r="G47" s="25" t="n">
        <v>0.0</v>
      </c>
      <c r="H47" s="26" t="n">
        <f>0</f>
        <v>0.0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6.0</v>
      </c>
      <c r="F48" s="18" t="n">
        <f>1</f>
        <v>1.0</v>
      </c>
      <c r="G48" s="17" t="n">
        <v>1.0083E7</v>
      </c>
      <c r="H48" s="18" t="n">
        <f>1681000</f>
        <v>1681000.0</v>
      </c>
    </row>
    <row r="49" spans="1:8" ht="24.9" customHeight="1">
      <c r="A49" s="51"/>
      <c r="B49" s="57"/>
      <c r="C49" s="39"/>
      <c r="D49" s="20" t="s">
        <v>16</v>
      </c>
      <c r="E49" s="21" t="n">
        <v>7.0</v>
      </c>
      <c r="F49" s="22" t="n">
        <f>0</f>
        <v>0.0</v>
      </c>
      <c r="G49" s="21" t="n">
        <v>1.17785E7</v>
      </c>
      <c r="H49" s="22" t="n">
        <f>0</f>
        <v>0.0</v>
      </c>
    </row>
    <row r="50" spans="1:8" ht="24.9" customHeight="1">
      <c r="A50" s="51"/>
      <c r="B50" s="57"/>
      <c r="C50" s="39"/>
      <c r="D50" s="20" t="s">
        <v>17</v>
      </c>
      <c r="E50" s="21" t="n">
        <v>544.0</v>
      </c>
      <c r="F50" s="22" t="n">
        <f>334</f>
        <v>334.0</v>
      </c>
      <c r="G50" s="21" t="n">
        <v>9.1145892E8</v>
      </c>
      <c r="H50" s="22" t="n">
        <f>559795920</f>
        <v>5.5979592E8</v>
      </c>
    </row>
    <row r="51" spans="1:8" ht="24.9" customHeight="1">
      <c r="A51" s="51"/>
      <c r="B51" s="57"/>
      <c r="C51" s="39"/>
      <c r="D51" s="24" t="s">
        <v>18</v>
      </c>
      <c r="E51" s="25" t="n">
        <v>557.0</v>
      </c>
      <c r="F51" s="26" t="n">
        <f>335</f>
        <v>335.0</v>
      </c>
      <c r="G51" s="25" t="n">
        <v>9.3332042E8</v>
      </c>
      <c r="H51" s="26" t="n">
        <f>561476920</f>
        <v>5.6147692E8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409.0</v>
      </c>
      <c r="F56" s="18" t="n">
        <f>10</f>
        <v>10.0</v>
      </c>
      <c r="G56" s="17" t="n">
        <v>3.127211E8</v>
      </c>
      <c r="H56" s="18" t="n">
        <f>7665100</f>
        <v>7665100.0</v>
      </c>
    </row>
    <row r="57" spans="1:8" ht="24.9" customHeight="1">
      <c r="A57" s="51"/>
      <c r="B57" s="57"/>
      <c r="C57" s="39"/>
      <c r="D57" s="20" t="s">
        <v>16</v>
      </c>
      <c r="E57" s="21" t="n">
        <v>817.0</v>
      </c>
      <c r="F57" s="22" t="n">
        <f>14</f>
        <v>14.0</v>
      </c>
      <c r="G57" s="21" t="n">
        <v>6.274415E8</v>
      </c>
      <c r="H57" s="22" t="n">
        <f>10737500</f>
        <v>1.07375E7</v>
      </c>
    </row>
    <row r="58" spans="1:8" ht="24.9" customHeight="1">
      <c r="A58" s="51"/>
      <c r="B58" s="57"/>
      <c r="C58" s="39"/>
      <c r="D58" s="20" t="s">
        <v>17</v>
      </c>
      <c r="E58" s="21" t="n">
        <v>2241.0</v>
      </c>
      <c r="F58" s="22" t="n">
        <f>569</f>
        <v>569.0</v>
      </c>
      <c r="G58" s="21" t="n">
        <v>1.73702196E9</v>
      </c>
      <c r="H58" s="22" t="n">
        <f>440561960</f>
        <v>4.4056196E8</v>
      </c>
    </row>
    <row r="59" spans="1:8" ht="24.9" customHeight="1">
      <c r="A59" s="51"/>
      <c r="B59" s="57"/>
      <c r="C59" s="39"/>
      <c r="D59" s="24" t="s">
        <v>18</v>
      </c>
      <c r="E59" s="25" t="n">
        <v>3467.0</v>
      </c>
      <c r="F59" s="26" t="n">
        <f>593</f>
        <v>593.0</v>
      </c>
      <c r="G59" s="25" t="n">
        <v>2.67718456E9</v>
      </c>
      <c r="H59" s="26" t="n">
        <f>458964560</f>
        <v>4.5896456E8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186.0</v>
      </c>
      <c r="F60" s="18" t="n">
        <f>1</f>
        <v>1.0</v>
      </c>
      <c r="G60" s="17" t="n">
        <v>9.7860619E8</v>
      </c>
      <c r="H60" s="18" t="n">
        <f>5262590</f>
        <v>5262590.0</v>
      </c>
    </row>
    <row r="61" spans="1:8" ht="24.9" customHeight="1">
      <c r="A61" s="51"/>
      <c r="B61" s="57"/>
      <c r="C61" s="39"/>
      <c r="D61" s="20" t="s">
        <v>16</v>
      </c>
      <c r="E61" s="21" t="n">
        <v>11.0</v>
      </c>
      <c r="F61" s="22" t="n">
        <f>1</f>
        <v>1.0</v>
      </c>
      <c r="G61" s="21" t="n">
        <v>5.78267E7</v>
      </c>
      <c r="H61" s="22" t="n">
        <f>5259700</f>
        <v>5259700.0</v>
      </c>
    </row>
    <row r="62" spans="1:8" ht="24.9" customHeight="1">
      <c r="A62" s="51"/>
      <c r="B62" s="57"/>
      <c r="C62" s="39"/>
      <c r="D62" s="20" t="s">
        <v>17</v>
      </c>
      <c r="E62" s="21" t="n">
        <v>9.0</v>
      </c>
      <c r="F62" s="22" t="n">
        <f>2</f>
        <v>2.0</v>
      </c>
      <c r="G62" s="21" t="n">
        <v>4.739289E7</v>
      </c>
      <c r="H62" s="22" t="n">
        <f>10531390</f>
        <v>1.053139E7</v>
      </c>
    </row>
    <row r="63" spans="1:8" ht="24.9" customHeight="1">
      <c r="A63" s="51"/>
      <c r="B63" s="57"/>
      <c r="C63" s="39"/>
      <c r="D63" s="24" t="s">
        <v>18</v>
      </c>
      <c r="E63" s="25" t="n">
        <v>206.0</v>
      </c>
      <c r="F63" s="26" t="n">
        <f>4</f>
        <v>4.0</v>
      </c>
      <c r="G63" s="25" t="n">
        <v>1.08382578E9</v>
      </c>
      <c r="H63" s="26" t="n">
        <f>21053680</f>
        <v>2.105368E7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0.0</v>
      </c>
      <c r="F75" s="26" t="n">
        <f>0</f>
        <v>0.0</v>
      </c>
      <c r="G75" s="25" t="n">
        <v>0.0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0.0</v>
      </c>
      <c r="F76" s="18" t="n">
        <f>0</f>
        <v>0.0</v>
      </c>
      <c r="G76" s="17" t="n">
        <v>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8.0</v>
      </c>
      <c r="F77" s="22" t="n">
        <f>0</f>
        <v>0.0</v>
      </c>
      <c r="G77" s="21" t="n">
        <v>2691000.0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1.0</v>
      </c>
      <c r="F78" s="22" t="n">
        <f>0</f>
        <v>0.0</v>
      </c>
      <c r="G78" s="21" t="n">
        <v>336500.0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9.0</v>
      </c>
      <c r="F79" s="26" t="n">
        <f>0</f>
        <v>0.0</v>
      </c>
      <c r="G79" s="25" t="n">
        <v>3027500.0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489.0</v>
      </c>
      <c r="F92" s="18" t="n">
        <f>0</f>
        <v>0.0</v>
      </c>
      <c r="G92" s="17" t="n">
        <v>7.660108E8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32.0</v>
      </c>
      <c r="F93" s="22" t="n">
        <f>0</f>
        <v>0.0</v>
      </c>
      <c r="G93" s="21" t="n">
        <v>5.02448E7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175.0</v>
      </c>
      <c r="F94" s="22" t="n">
        <f>0</f>
        <v>0.0</v>
      </c>
      <c r="G94" s="21" t="n">
        <v>2.746911E8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696.0</v>
      </c>
      <c r="F95" s="26" t="n">
        <f>0</f>
        <v>0.0</v>
      </c>
      <c r="G95" s="25" t="n">
        <v>1.0909467E9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101.0</v>
      </c>
      <c r="F96" s="18" t="n">
        <f>0</f>
        <v>0.0</v>
      </c>
      <c r="G96" s="17" t="n">
        <v>2.385345E8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0.0</v>
      </c>
      <c r="F97" s="22" t="n">
        <f>0</f>
        <v>0.0</v>
      </c>
      <c r="G97" s="21" t="n">
        <v>0.0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0.0</v>
      </c>
      <c r="F98" s="22" t="n">
        <f>0</f>
        <v>0.0</v>
      </c>
      <c r="G98" s="21" t="n">
        <v>0.0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101.0</v>
      </c>
      <c r="F99" s="26" t="n">
        <f>0</f>
        <v>0.0</v>
      </c>
      <c r="G99" s="25" t="n">
        <v>2.385345E8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0.0</v>
      </c>
      <c r="F100" s="18" t="n">
        <f>0</f>
        <v>0.0</v>
      </c>
      <c r="G100" s="17" t="n">
        <v>0.0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0.0</v>
      </c>
      <c r="F101" s="22" t="n">
        <f>0</f>
        <v>0.0</v>
      </c>
      <c r="G101" s="21" t="n">
        <v>0.0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0.0</v>
      </c>
      <c r="F102" s="22" t="n">
        <f>0</f>
        <v>0.0</v>
      </c>
      <c r="G102" s="21" t="n">
        <v>0.0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0.0</v>
      </c>
      <c r="F103" s="26" t="n">
        <f>0</f>
        <v>0.0</v>
      </c>
      <c r="G103" s="25" t="n">
        <v>0.0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12606.0</v>
      </c>
      <c r="F108" s="18" t="n">
        <f>326</f>
        <v>326.0</v>
      </c>
      <c r="G108" s="17" t="n">
        <v>1.59506244E12</v>
      </c>
      <c r="H108" s="18" t="n">
        <f>41274170000</f>
        <v>4.127417E10</v>
      </c>
    </row>
    <row r="109" spans="1:8" ht="24.9" customHeight="1">
      <c r="A109" s="51"/>
      <c r="B109" s="57"/>
      <c r="C109" s="39"/>
      <c r="D109" s="20" t="s">
        <v>16</v>
      </c>
      <c r="E109" s="21" t="n">
        <v>13637.0</v>
      </c>
      <c r="F109" s="22" t="n">
        <f>1644</f>
        <v>1644.0</v>
      </c>
      <c r="G109" s="21" t="n">
        <v>1.72497519E12</v>
      </c>
      <c r="H109" s="22" t="n">
        <f>207965160000</f>
        <v>2.0796516E11</v>
      </c>
    </row>
    <row r="110" spans="1:8" ht="24.9" customHeight="1">
      <c r="A110" s="51"/>
      <c r="B110" s="57"/>
      <c r="C110" s="39"/>
      <c r="D110" s="20" t="s">
        <v>17</v>
      </c>
      <c r="E110" s="21" t="n">
        <v>14677.0</v>
      </c>
      <c r="F110" s="22" t="n">
        <f>2750</f>
        <v>2750.0</v>
      </c>
      <c r="G110" s="21" t="n">
        <v>1.85760304E12</v>
      </c>
      <c r="H110" s="22" t="n">
        <f>348003980000</f>
        <v>3.4800398E11</v>
      </c>
    </row>
    <row r="111" spans="1:8" ht="24.9" customHeight="1">
      <c r="A111" s="51"/>
      <c r="B111" s="57"/>
      <c r="C111" s="39"/>
      <c r="D111" s="24" t="s">
        <v>18</v>
      </c>
      <c r="E111" s="25" t="n">
        <v>40920.0</v>
      </c>
      <c r="F111" s="26" t="n">
        <f>4720</f>
        <v>4720.0</v>
      </c>
      <c r="G111" s="25" t="n">
        <v>5.17764067E12</v>
      </c>
      <c r="H111" s="26" t="n">
        <f>597243310000</f>
        <v>5.9724331E11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3060.0</v>
      </c>
      <c r="F113" s="22" t="n">
        <f>0</f>
        <v>0.0</v>
      </c>
      <c r="G113" s="21" t="n">
        <v>3.870531E10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2222.0</v>
      </c>
      <c r="F114" s="22" t="n">
        <f>0</f>
        <v>0.0</v>
      </c>
      <c r="G114" s="21" t="n">
        <v>2.8122655E10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5282.0</v>
      </c>
      <c r="F115" s="26" t="n">
        <f>0</f>
        <v>0.0</v>
      </c>
      <c r="G115" s="25" t="n">
        <v>6.6827965E10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0.0</v>
      </c>
      <c r="F117" s="22" t="n">
        <f>0</f>
        <v>0.0</v>
      </c>
      <c r="G117" s="21" t="n">
        <v>0.0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521.0</v>
      </c>
      <c r="F118" s="22" t="n">
        <f>0</f>
        <v>0.0</v>
      </c>
      <c r="G118" s="21" t="n">
        <v>4.754339E9</v>
      </c>
      <c r="H118" s="22" t="n">
        <f>0</f>
        <v>0.0</v>
      </c>
    </row>
    <row r="119" spans="1:8" ht="24.9" customHeight="1">
      <c r="A119" s="51"/>
      <c r="B119" s="58"/>
      <c r="C119" s="39"/>
      <c r="D119" s="24" t="s">
        <v>18</v>
      </c>
      <c r="E119" s="25" t="n">
        <v>521.0</v>
      </c>
      <c r="F119" s="26" t="n">
        <f>0</f>
        <v>0.0</v>
      </c>
      <c r="G119" s="25" t="n">
        <v>4.754339E9</v>
      </c>
      <c r="H119" s="26" t="n">
        <f>0</f>
        <v>0.0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583.0</v>
      </c>
      <c r="F120" s="18" t="n">
        <f>0</f>
        <v>0.0</v>
      </c>
      <c r="G120" s="17" t="n">
        <v>1.4364324375E10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1155.0</v>
      </c>
      <c r="F121" s="22" t="n">
        <f>0</f>
        <v>0.0</v>
      </c>
      <c r="G121" s="21" t="n">
        <v>2.8334453125E10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1190.0</v>
      </c>
      <c r="F122" s="22" t="n">
        <f>0</f>
        <v>0.0</v>
      </c>
      <c r="G122" s="21" t="n">
        <v>2.930436875E10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2928.0</v>
      </c>
      <c r="F123" s="26" t="n">
        <f>0</f>
        <v>0.0</v>
      </c>
      <c r="G123" s="25" t="n">
        <v>7.200314625E10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3797.0</v>
      </c>
      <c r="F124" s="18" t="n">
        <f>0</f>
        <v>0.0</v>
      </c>
      <c r="G124" s="17" t="n">
        <v>7.850609E10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1808.0</v>
      </c>
      <c r="F125" s="22" t="n">
        <f>0</f>
        <v>0.0</v>
      </c>
      <c r="G125" s="21" t="n">
        <v>3.7438294E10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2257.0</v>
      </c>
      <c r="F126" s="22" t="n">
        <f>9</f>
        <v>9.0</v>
      </c>
      <c r="G126" s="21" t="n">
        <v>4.6645325E10</v>
      </c>
      <c r="H126" s="22" t="n">
        <f>182358000</f>
        <v>1.82358E8</v>
      </c>
    </row>
    <row r="127" spans="1:8" ht="24.9" customHeight="1">
      <c r="A127" s="51"/>
      <c r="B127" s="57"/>
      <c r="C127" s="39"/>
      <c r="D127" s="24" t="s">
        <v>18</v>
      </c>
      <c r="E127" s="25" t="n">
        <v>7862.0</v>
      </c>
      <c r="F127" s="26" t="n">
        <f>9</f>
        <v>9.0</v>
      </c>
      <c r="G127" s="25" t="n">
        <v>1.62589709E11</v>
      </c>
      <c r="H127" s="26" t="n">
        <f>182358000</f>
        <v>1.82358E8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18148.0</v>
      </c>
      <c r="F128" s="18" t="n">
        <f>0</f>
        <v>0.0</v>
      </c>
      <c r="G128" s="17" t="n">
        <v>3.70115897E10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61.0</v>
      </c>
      <c r="F129" s="22" t="n">
        <f>0</f>
        <v>0.0</v>
      </c>
      <c r="G129" s="21" t="n">
        <v>1.245337E8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214.0</v>
      </c>
      <c r="F130" s="22" t="n">
        <f>0</f>
        <v>0.0</v>
      </c>
      <c r="G130" s="21" t="n">
        <v>4.364925E8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18423.0</v>
      </c>
      <c r="F131" s="26" t="n">
        <f>0</f>
        <v>0.0</v>
      </c>
      <c r="G131" s="25" t="n">
        <v>3.75726159E10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4614.0</v>
      </c>
      <c r="F132" s="18" t="n">
        <f>0</f>
        <v>0.0</v>
      </c>
      <c r="G132" s="17" t="n">
        <v>9.5676979E9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1650.0</v>
      </c>
      <c r="F133" s="22" t="n">
        <f>0</f>
        <v>0.0</v>
      </c>
      <c r="G133" s="21" t="n">
        <v>3.4251082E9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2436.0</v>
      </c>
      <c r="F134" s="22" t="n">
        <f>0</f>
        <v>0.0</v>
      </c>
      <c r="G134" s="21" t="n">
        <v>5.05305695E9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8700.0</v>
      </c>
      <c r="F135" s="26" t="n">
        <f>0</f>
        <v>0.0</v>
      </c>
      <c r="G135" s="25" t="n">
        <v>1.804586305E10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59.0</v>
      </c>
      <c r="F136" s="18" t="n">
        <f>0</f>
        <v>0.0</v>
      </c>
      <c r="G136" s="17" t="n">
        <v>1.184556E8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51.0</v>
      </c>
      <c r="F137" s="22" t="n">
        <f>0</f>
        <v>0.0</v>
      </c>
      <c r="G137" s="21" t="n">
        <v>1.027383E8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104.0</v>
      </c>
      <c r="F138" s="22" t="n">
        <f>70</f>
        <v>70.0</v>
      </c>
      <c r="G138" s="21" t="n">
        <v>2.091338E8</v>
      </c>
      <c r="H138" s="22" t="n">
        <f>140910000</f>
        <v>1.4091E8</v>
      </c>
    </row>
    <row r="139" spans="1:8" ht="24.9" customHeight="1">
      <c r="A139" s="51"/>
      <c r="B139" s="57"/>
      <c r="C139" s="39"/>
      <c r="D139" s="24" t="s">
        <v>18</v>
      </c>
      <c r="E139" s="25" t="n">
        <v>214.0</v>
      </c>
      <c r="F139" s="26" t="n">
        <f>70</f>
        <v>70.0</v>
      </c>
      <c r="G139" s="25" t="n">
        <v>4.303277E8</v>
      </c>
      <c r="H139" s="26" t="n">
        <f>140910000</f>
        <v>1.4091E8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0.0</v>
      </c>
      <c r="F140" s="18" t="n">
        <f>0</f>
        <v>0.0</v>
      </c>
      <c r="G140" s="17" t="n">
        <v>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0.0</v>
      </c>
      <c r="F141" s="22" t="n">
        <f>0</f>
        <v>0.0</v>
      </c>
      <c r="G141" s="21" t="n">
        <v>0.0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0.0</v>
      </c>
      <c r="F142" s="22" t="n">
        <f>0</f>
        <v>0.0</v>
      </c>
      <c r="G142" s="21" t="n">
        <v>0.0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0.0</v>
      </c>
      <c r="F143" s="26" t="n">
        <f>0</f>
        <v>0.0</v>
      </c>
      <c r="G143" s="25" t="n">
        <v>0.0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1090.0</v>
      </c>
      <c r="F144" s="18" t="n">
        <f>0</f>
        <v>0.0</v>
      </c>
      <c r="G144" s="17" t="n">
        <v>4.114911E9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541.0</v>
      </c>
      <c r="F145" s="22" t="n">
        <f>0</f>
        <v>0.0</v>
      </c>
      <c r="G145" s="21" t="n">
        <v>2.0298605E9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841.0</v>
      </c>
      <c r="F146" s="22" t="n">
        <f>0</f>
        <v>0.0</v>
      </c>
      <c r="G146" s="21" t="n">
        <v>3.1206385E9</v>
      </c>
      <c r="H146" s="22" t="n">
        <f>0</f>
        <v>0.0</v>
      </c>
    </row>
    <row r="147" spans="1:8" ht="24.9" customHeight="1">
      <c r="A147" s="51"/>
      <c r="B147" s="57"/>
      <c r="C147" s="39"/>
      <c r="D147" s="24" t="s">
        <v>18</v>
      </c>
      <c r="E147" s="25" t="n">
        <v>2472.0</v>
      </c>
      <c r="F147" s="26" t="n">
        <f>0</f>
        <v>0.0</v>
      </c>
      <c r="G147" s="25" t="n">
        <v>9.26541E9</v>
      </c>
      <c r="H147" s="26" t="n">
        <f>0</f>
        <v>0.0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1655.0</v>
      </c>
      <c r="F148" s="18" t="n">
        <f>0</f>
        <v>0.0</v>
      </c>
      <c r="G148" s="17" t="n">
        <v>1.2872416E9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272.0</v>
      </c>
      <c r="F149" s="22" t="n">
        <f>0</f>
        <v>0.0</v>
      </c>
      <c r="G149" s="21" t="n">
        <v>2.097256E8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383.0</v>
      </c>
      <c r="F150" s="22" t="n">
        <f>0</f>
        <v>0.0</v>
      </c>
      <c r="G150" s="21" t="n">
        <v>2.915984E8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2310.0</v>
      </c>
      <c r="F151" s="26" t="n">
        <f>0</f>
        <v>0.0</v>
      </c>
      <c r="G151" s="25" t="n">
        <v>1.7885656E9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257.0</v>
      </c>
      <c r="F152" s="18" t="n">
        <f>0</f>
        <v>0.0</v>
      </c>
      <c r="G152" s="17" t="n">
        <v>1.9400085E8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135.0</v>
      </c>
      <c r="F153" s="22" t="n">
        <f>0</f>
        <v>0.0</v>
      </c>
      <c r="G153" s="21" t="n">
        <v>1.015643E8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410.0</v>
      </c>
      <c r="F154" s="22" t="n">
        <f>0</f>
        <v>0.0</v>
      </c>
      <c r="G154" s="21" t="n">
        <v>3.0504225E8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802.0</v>
      </c>
      <c r="F155" s="26" t="n">
        <f>0</f>
        <v>0.0</v>
      </c>
      <c r="G155" s="25" t="n">
        <v>6.006074E8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46.0</v>
      </c>
      <c r="F156" s="18" t="n">
        <f>0</f>
        <v>0.0</v>
      </c>
      <c r="G156" s="17" t="n">
        <v>3.45694E7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123.0</v>
      </c>
      <c r="F157" s="22" t="n">
        <f>0</f>
        <v>0.0</v>
      </c>
      <c r="G157" s="21" t="n">
        <v>9.25613E7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223.0</v>
      </c>
      <c r="F158" s="22" t="n">
        <f>0</f>
        <v>0.0</v>
      </c>
      <c r="G158" s="21" t="n">
        <v>1.647778E8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392.0</v>
      </c>
      <c r="F159" s="26" t="n">
        <f>0</f>
        <v>0.0</v>
      </c>
      <c r="G159" s="25" t="n">
        <v>2.919085E8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146.0</v>
      </c>
      <c r="F168" s="18" t="n">
        <f>0</f>
        <v>0.0</v>
      </c>
      <c r="G168" s="17" t="n">
        <v>3.221515E8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212.0</v>
      </c>
      <c r="F169" s="22" t="n">
        <f>0</f>
        <v>0.0</v>
      </c>
      <c r="G169" s="21" t="n">
        <v>4.73688E8</v>
      </c>
      <c r="H169" s="22" t="n">
        <f>0</f>
        <v>0.0</v>
      </c>
    </row>
    <row r="170" spans="1:8" ht="24.9" customHeight="1">
      <c r="A170" s="51"/>
      <c r="B170" s="57"/>
      <c r="C170" s="39"/>
      <c r="D170" s="20" t="s">
        <v>17</v>
      </c>
      <c r="E170" s="21" t="n">
        <v>408.0</v>
      </c>
      <c r="F170" s="22" t="n">
        <f>0</f>
        <v>0.0</v>
      </c>
      <c r="G170" s="21" t="n">
        <v>9.0664E8</v>
      </c>
      <c r="H170" s="22" t="n">
        <f>0</f>
        <v>0.0</v>
      </c>
    </row>
    <row r="171" spans="1:8" ht="24.9" customHeight="1">
      <c r="A171" s="51"/>
      <c r="B171" s="57"/>
      <c r="C171" s="39"/>
      <c r="D171" s="24" t="s">
        <v>18</v>
      </c>
      <c r="E171" s="25" t="n">
        <v>766.0</v>
      </c>
      <c r="F171" s="26" t="n">
        <f>0</f>
        <v>0.0</v>
      </c>
      <c r="G171" s="25" t="n">
        <v>1.7024795E9</v>
      </c>
      <c r="H171" s="26" t="n">
        <f>0</f>
        <v>0.0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0.0</v>
      </c>
      <c r="F176" s="18" t="n">
        <f>0</f>
        <v>0.0</v>
      </c>
      <c r="G176" s="17" t="n">
        <v>0.0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8.0</v>
      </c>
      <c r="F177" s="22" t="n">
        <f>0</f>
        <v>0.0</v>
      </c>
      <c r="G177" s="21" t="n">
        <v>1.5548E7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24.0</v>
      </c>
      <c r="F178" s="22" t="n">
        <f>0</f>
        <v>0.0</v>
      </c>
      <c r="G178" s="21" t="n">
        <v>4.6338E7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32.0</v>
      </c>
      <c r="F179" s="26" t="n">
        <f>0</f>
        <v>0.0</v>
      </c>
      <c r="G179" s="25" t="n">
        <v>6.1886E7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504.0</v>
      </c>
      <c r="F204" s="18" t="n">
        <f>0</f>
        <v>0.0</v>
      </c>
      <c r="G204" s="17" t="n">
        <v>2.5466795E9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215.0</v>
      </c>
      <c r="F205" s="22" t="n">
        <f>0</f>
        <v>0.0</v>
      </c>
      <c r="G205" s="21" t="n">
        <v>1.0625615E9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1207.0</v>
      </c>
      <c r="F206" s="22" t="n">
        <f>0</f>
        <v>0.0</v>
      </c>
      <c r="G206" s="21" t="n">
        <v>6.043811E9</v>
      </c>
      <c r="H206" s="22" t="n">
        <f>0</f>
        <v>0.0</v>
      </c>
    </row>
    <row r="207" spans="1:8" ht="24.9" customHeight="1">
      <c r="A207" s="57"/>
      <c r="B207" s="59"/>
      <c r="C207" s="39"/>
      <c r="D207" s="24" t="s">
        <v>18</v>
      </c>
      <c r="E207" s="25" t="n">
        <v>1926.0</v>
      </c>
      <c r="F207" s="26" t="n">
        <f>0</f>
        <v>0.0</v>
      </c>
      <c r="G207" s="25" t="n">
        <v>9.653052E9</v>
      </c>
      <c r="H207" s="26" t="n">
        <f>0</f>
        <v>0.0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0.0</v>
      </c>
      <c r="F208" s="18" t="n">
        <f>0</f>
        <v>0.0</v>
      </c>
      <c r="G208" s="17" t="n">
        <v>0.0</v>
      </c>
      <c r="H208" s="18" t="n">
        <f>0</f>
        <v>0.0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210.0</v>
      </c>
      <c r="F210" s="22" t="n">
        <f>210</f>
        <v>210.0</v>
      </c>
      <c r="G210" s="21" t="n">
        <v>4.8890928E8</v>
      </c>
      <c r="H210" s="22" t="n">
        <f>488909280</f>
        <v>4.8890928E8</v>
      </c>
    </row>
    <row r="211" spans="1:8" ht="24.9" customHeight="1">
      <c r="A211" s="57"/>
      <c r="B211" s="59"/>
      <c r="C211" s="39"/>
      <c r="D211" s="24" t="s">
        <v>18</v>
      </c>
      <c r="E211" s="25" t="n">
        <v>210.0</v>
      </c>
      <c r="F211" s="26" t="n">
        <f>210</f>
        <v>210.0</v>
      </c>
      <c r="G211" s="25" t="n">
        <v>4.8890928E8</v>
      </c>
      <c r="H211" s="26" t="n">
        <f>488909280</f>
        <v>4.8890928E8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150.0</v>
      </c>
      <c r="F214" s="22" t="n">
        <f>150</f>
        <v>150.0</v>
      </c>
      <c r="G214" s="21" t="n">
        <v>2.72676E8</v>
      </c>
      <c r="H214" s="22" t="n">
        <f>272676000</f>
        <v>2.72676E8</v>
      </c>
    </row>
    <row r="215" spans="1:8" ht="24.9" customHeight="1">
      <c r="A215" s="57"/>
      <c r="B215" s="59"/>
      <c r="C215" s="39"/>
      <c r="D215" s="24" t="s">
        <v>18</v>
      </c>
      <c r="E215" s="25" t="n">
        <v>150.0</v>
      </c>
      <c r="F215" s="26" t="n">
        <f>150</f>
        <v>150.0</v>
      </c>
      <c r="G215" s="25" t="n">
        <v>2.72676E8</v>
      </c>
      <c r="H215" s="26" t="n">
        <f>272676000</f>
        <v>2.72676E8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12.0</v>
      </c>
      <c r="F222" s="22" t="n">
        <f>12</f>
        <v>12.0</v>
      </c>
      <c r="G222" s="21" t="n">
        <v>9521280.0</v>
      </c>
      <c r="H222" s="22" t="n">
        <f>9521280</f>
        <v>9521280.0</v>
      </c>
    </row>
    <row r="223" spans="1:8" ht="24.9" customHeight="1">
      <c r="A223" s="57"/>
      <c r="B223" s="59"/>
      <c r="C223" s="39"/>
      <c r="D223" s="24" t="s">
        <v>18</v>
      </c>
      <c r="E223" s="25" t="n">
        <v>12.0</v>
      </c>
      <c r="F223" s="26" t="n">
        <f>12</f>
        <v>12.0</v>
      </c>
      <c r="G223" s="25" t="n">
        <v>9521280.0</v>
      </c>
      <c r="H223" s="26" t="n">
        <f>9521280</f>
        <v>9521280.0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46322.0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46322.0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1600</f>
        <v>1600.0</v>
      </c>
      <c r="E12" s="35" t="n">
        <f>322</f>
        <v>322.0</v>
      </c>
      <c r="F12" s="17" t="n">
        <f>2170</f>
        <v>2170.0</v>
      </c>
      <c r="G12" s="35" t="n">
        <f>835</f>
        <v>835.0</v>
      </c>
      <c r="H12" s="17" t="n">
        <f>3770</f>
        <v>3770.0</v>
      </c>
      <c r="I12" s="35" t="n">
        <f>1157</f>
        <v>1157.0</v>
      </c>
      <c r="J12" s="17" t="n">
        <f>427325900</f>
        <v>4.273259E8</v>
      </c>
      <c r="K12" s="35" t="n">
        <f>81437900</f>
        <v>8.14379E7</v>
      </c>
      <c r="L12" s="17" t="n">
        <f>824158520</f>
        <v>8.2415852E8</v>
      </c>
      <c r="M12" s="35" t="n">
        <f>525760520</f>
        <v>5.2576052E8</v>
      </c>
      <c r="N12" s="17" t="n">
        <f>1251484420</f>
        <v>1.25148442E9</v>
      </c>
      <c r="O12" s="35" t="n">
        <f>607198420</f>
        <v>6.0719842E8</v>
      </c>
    </row>
    <row r="13" spans="1:15" ht="24.9" customHeight="1">
      <c r="A13" s="38"/>
      <c r="B13" s="62"/>
      <c r="C13" s="20" t="s">
        <v>16</v>
      </c>
      <c r="D13" s="21" t="n">
        <f>3188</f>
        <v>3188.0</v>
      </c>
      <c r="E13" s="36" t="n">
        <f>1576</f>
        <v>1576.0</v>
      </c>
      <c r="F13" s="21" t="n">
        <f>3701</f>
        <v>3701.0</v>
      </c>
      <c r="G13" s="36" t="n">
        <f>1478</f>
        <v>1478.0</v>
      </c>
      <c r="H13" s="21" t="n">
        <f>6889</f>
        <v>6889.0</v>
      </c>
      <c r="I13" s="36" t="n">
        <f>3054</f>
        <v>3054.0</v>
      </c>
      <c r="J13" s="21" t="n">
        <f>3088236620</f>
        <v>3.08823662E9</v>
      </c>
      <c r="K13" s="36" t="n">
        <f>2576017620</f>
        <v>2.57601762E9</v>
      </c>
      <c r="L13" s="21" t="n">
        <f>1161813500</f>
        <v>1.1618135E9</v>
      </c>
      <c r="M13" s="36" t="n">
        <f>742853500</f>
        <v>7.428535E8</v>
      </c>
      <c r="N13" s="21" t="n">
        <f>4250050120</f>
        <v>4.25005012E9</v>
      </c>
      <c r="O13" s="36" t="n">
        <f>3318871120</f>
        <v>3.31887112E9</v>
      </c>
    </row>
    <row r="14" spans="1:15" ht="24.9" customHeight="1">
      <c r="A14" s="38"/>
      <c r="B14" s="62"/>
      <c r="C14" s="20" t="s">
        <v>17</v>
      </c>
      <c r="D14" s="21" t="n">
        <f>12087</f>
        <v>12087.0</v>
      </c>
      <c r="E14" s="36" t="n">
        <f>9015</f>
        <v>9015.0</v>
      </c>
      <c r="F14" s="21" t="n">
        <f>7950</f>
        <v>7950.0</v>
      </c>
      <c r="G14" s="36" t="n">
        <f>5741</f>
        <v>5741.0</v>
      </c>
      <c r="H14" s="21" t="n">
        <f>20037</f>
        <v>20037.0</v>
      </c>
      <c r="I14" s="36" t="n">
        <f>14756</f>
        <v>14756.0</v>
      </c>
      <c r="J14" s="21" t="n">
        <f>14367796240</f>
        <v>1.436779624E10</v>
      </c>
      <c r="K14" s="36" t="n">
        <f>13383869240</f>
        <v>1.338386924E10</v>
      </c>
      <c r="L14" s="21" t="n">
        <f>13454366290</f>
        <v>1.345436629E10</v>
      </c>
      <c r="M14" s="36" t="n">
        <f>12878203290</f>
        <v>1.287820329E10</v>
      </c>
      <c r="N14" s="21" t="n">
        <f>27822162530</f>
        <v>2.782216253E10</v>
      </c>
      <c r="O14" s="36" t="n">
        <f>26262072530</f>
        <v>2.626207253E10</v>
      </c>
    </row>
    <row r="15" spans="1:15" ht="24.9" customHeight="1">
      <c r="A15" s="38"/>
      <c r="B15" s="62"/>
      <c r="C15" s="24" t="s">
        <v>18</v>
      </c>
      <c r="D15" s="25" t="n">
        <f>16875</f>
        <v>16875.0</v>
      </c>
      <c r="E15" s="37" t="n">
        <f>10913</f>
        <v>10913.0</v>
      </c>
      <c r="F15" s="25" t="n">
        <f>13821</f>
        <v>13821.0</v>
      </c>
      <c r="G15" s="37" t="n">
        <f>8054</f>
        <v>8054.0</v>
      </c>
      <c r="H15" s="25" t="n">
        <f>30696</f>
        <v>30696.0</v>
      </c>
      <c r="I15" s="37" t="n">
        <f>18967</f>
        <v>18967.0</v>
      </c>
      <c r="J15" s="25" t="n">
        <f>17883358760</f>
        <v>1.788335876E10</v>
      </c>
      <c r="K15" s="37" t="n">
        <f>16041324760</f>
        <v>1.604132476E10</v>
      </c>
      <c r="L15" s="25" t="n">
        <f>15440338310</f>
        <v>1.544033831E10</v>
      </c>
      <c r="M15" s="37" t="n">
        <f>14146817310</f>
        <v>1.414681731E10</v>
      </c>
      <c r="N15" s="25" t="n">
        <f>33323697070</f>
        <v>3.332369707E10</v>
      </c>
      <c r="O15" s="37" t="n">
        <f>30188142070</f>
        <v>3.018814207E10</v>
      </c>
    </row>
    <row r="16" spans="1:15" ht="24.9" customHeight="1">
      <c r="A16" s="38"/>
      <c r="B16" s="61" t="s">
        <v>105</v>
      </c>
      <c r="C16" s="16" t="s">
        <v>15</v>
      </c>
      <c r="D16" s="17" t="n">
        <f>2900</f>
        <v>2900.0</v>
      </c>
      <c r="E16" s="35" t="n">
        <f>200</f>
        <v>200.0</v>
      </c>
      <c r="F16" s="17" t="n">
        <f>5193</f>
        <v>5193.0</v>
      </c>
      <c r="G16" s="35" t="n">
        <f>450</f>
        <v>450.0</v>
      </c>
      <c r="H16" s="17" t="n">
        <f>8093</f>
        <v>8093.0</v>
      </c>
      <c r="I16" s="35" t="n">
        <f>650</f>
        <v>650.0</v>
      </c>
      <c r="J16" s="17" t="n">
        <f>190923180</f>
        <v>1.9092318E8</v>
      </c>
      <c r="K16" s="35" t="n">
        <f>8979280</f>
        <v>8979280.0</v>
      </c>
      <c r="L16" s="17" t="n">
        <f>131945270</f>
        <v>1.3194527E8</v>
      </c>
      <c r="M16" s="35" t="n">
        <f>8252770</f>
        <v>8252770.0</v>
      </c>
      <c r="N16" s="17" t="n">
        <f>322868450</f>
        <v>3.2286845E8</v>
      </c>
      <c r="O16" s="35" t="n">
        <f>17232050</f>
        <v>1.723205E7</v>
      </c>
    </row>
    <row r="17" spans="1:15" ht="24.9" customHeight="1">
      <c r="A17" s="38"/>
      <c r="B17" s="62"/>
      <c r="C17" s="20" t="s">
        <v>16</v>
      </c>
      <c r="D17" s="21" t="n">
        <f>4425</f>
        <v>4425.0</v>
      </c>
      <c r="E17" s="36" t="n">
        <f>150</f>
        <v>150.0</v>
      </c>
      <c r="F17" s="21" t="n">
        <f>7251</f>
        <v>7251.0</v>
      </c>
      <c r="G17" s="36" t="n">
        <f>280</f>
        <v>280.0</v>
      </c>
      <c r="H17" s="21" t="n">
        <f>11676</f>
        <v>11676.0</v>
      </c>
      <c r="I17" s="36" t="n">
        <f>430</f>
        <v>430.0</v>
      </c>
      <c r="J17" s="21" t="n">
        <f>141736750</f>
        <v>1.4173675E8</v>
      </c>
      <c r="K17" s="36" t="n">
        <f>1567050</f>
        <v>1567050.0</v>
      </c>
      <c r="L17" s="21" t="n">
        <f>192900380</f>
        <v>1.9290038E8</v>
      </c>
      <c r="M17" s="36" t="n">
        <f>698080</f>
        <v>698080.0</v>
      </c>
      <c r="N17" s="21" t="n">
        <f>334637130</f>
        <v>3.3463713E8</v>
      </c>
      <c r="O17" s="36" t="n">
        <f>2265130</f>
        <v>2265130.0</v>
      </c>
    </row>
    <row r="18" spans="1:15" ht="24.9" customHeight="1">
      <c r="A18" s="38"/>
      <c r="B18" s="62"/>
      <c r="C18" s="20" t="s">
        <v>17</v>
      </c>
      <c r="D18" s="21" t="n">
        <f>5160</f>
        <v>5160.0</v>
      </c>
      <c r="E18" s="36" t="n">
        <f>140</f>
        <v>140.0</v>
      </c>
      <c r="F18" s="21" t="n">
        <f>5979</f>
        <v>5979.0</v>
      </c>
      <c r="G18" s="36" t="n">
        <f>260</f>
        <v>260.0</v>
      </c>
      <c r="H18" s="21" t="n">
        <f>11139</f>
        <v>11139.0</v>
      </c>
      <c r="I18" s="36" t="n">
        <f>400</f>
        <v>400.0</v>
      </c>
      <c r="J18" s="21" t="n">
        <f>219798390</f>
        <v>2.1979839E8</v>
      </c>
      <c r="K18" s="36" t="n">
        <f>3459090</f>
        <v>3459090.0</v>
      </c>
      <c r="L18" s="21" t="n">
        <f>178059100</f>
        <v>1.780591E8</v>
      </c>
      <c r="M18" s="36" t="n">
        <f>7825400</f>
        <v>7825400.0</v>
      </c>
      <c r="N18" s="21" t="n">
        <f>397857490</f>
        <v>3.9785749E8</v>
      </c>
      <c r="O18" s="36" t="n">
        <f>11284490</f>
        <v>1.128449E7</v>
      </c>
    </row>
    <row r="19" spans="1:15" ht="24.9" customHeight="1">
      <c r="A19" s="38"/>
      <c r="B19" s="62"/>
      <c r="C19" s="24" t="s">
        <v>18</v>
      </c>
      <c r="D19" s="25" t="n">
        <f>12485</f>
        <v>12485.0</v>
      </c>
      <c r="E19" s="37" t="n">
        <f>490</f>
        <v>490.0</v>
      </c>
      <c r="F19" s="25" t="n">
        <f>18423</f>
        <v>18423.0</v>
      </c>
      <c r="G19" s="37" t="n">
        <f>990</f>
        <v>990.0</v>
      </c>
      <c r="H19" s="25" t="n">
        <f>30908</f>
        <v>30908.0</v>
      </c>
      <c r="I19" s="37" t="n">
        <f>1480</f>
        <v>1480.0</v>
      </c>
      <c r="J19" s="25" t="n">
        <f>552458320</f>
        <v>5.5245832E8</v>
      </c>
      <c r="K19" s="37" t="n">
        <f>14005420</f>
        <v>1.400542E7</v>
      </c>
      <c r="L19" s="25" t="n">
        <f>502904750</f>
        <v>5.0290475E8</v>
      </c>
      <c r="M19" s="37" t="n">
        <f>16776250</f>
        <v>1.677625E7</v>
      </c>
      <c r="N19" s="25" t="n">
        <f>1055363070</f>
        <v>1.05536307E9</v>
      </c>
      <c r="O19" s="37" t="n">
        <f>30781670</f>
        <v>3.078167E7</v>
      </c>
    </row>
    <row r="20" spans="1:15" ht="24.9" customHeight="1">
      <c r="A20" s="38"/>
      <c r="B20" s="61" t="s">
        <v>106</v>
      </c>
      <c r="C20" s="16" t="s">
        <v>15</v>
      </c>
      <c r="D20" s="17" t="n">
        <f>31</f>
        <v>31.0</v>
      </c>
      <c r="E20" s="35" t="n">
        <f>31</f>
        <v>31.0</v>
      </c>
      <c r="F20" s="17" t="n">
        <f>0</f>
        <v>0.0</v>
      </c>
      <c r="G20" s="35" t="n">
        <f>0</f>
        <v>0.0</v>
      </c>
      <c r="H20" s="17" t="n">
        <f>31</f>
        <v>31.0</v>
      </c>
      <c r="I20" s="35" t="n">
        <f>31</f>
        <v>31.0</v>
      </c>
      <c r="J20" s="17" t="n">
        <f>10950000</f>
        <v>1.095E7</v>
      </c>
      <c r="K20" s="35" t="n">
        <f>10950000</f>
        <v>1.095E7</v>
      </c>
      <c r="L20" s="17" t="n">
        <f>0</f>
        <v>0.0</v>
      </c>
      <c r="M20" s="35" t="n">
        <f>0</f>
        <v>0.0</v>
      </c>
      <c r="N20" s="17" t="n">
        <f>10950000</f>
        <v>1.095E7</v>
      </c>
      <c r="O20" s="35" t="n">
        <f>10950000</f>
        <v>1.095E7</v>
      </c>
    </row>
    <row r="21" spans="1:15" ht="24.9" customHeight="1">
      <c r="A21" s="38"/>
      <c r="B21" s="62"/>
      <c r="C21" s="20" t="s">
        <v>16</v>
      </c>
      <c r="D21" s="21" t="n">
        <f>400</f>
        <v>400.0</v>
      </c>
      <c r="E21" s="36" t="n">
        <f>400</f>
        <v>400.0</v>
      </c>
      <c r="F21" s="21" t="n">
        <f>0</f>
        <v>0.0</v>
      </c>
      <c r="G21" s="36" t="n">
        <f>0</f>
        <v>0.0</v>
      </c>
      <c r="H21" s="21" t="n">
        <f>400</f>
        <v>400.0</v>
      </c>
      <c r="I21" s="36" t="n">
        <f>400</f>
        <v>400.0</v>
      </c>
      <c r="J21" s="21" t="n">
        <f>996000000</f>
        <v>9.96E8</v>
      </c>
      <c r="K21" s="36" t="n">
        <f>996000000</f>
        <v>9.96E8</v>
      </c>
      <c r="L21" s="21" t="n">
        <f>0</f>
        <v>0.0</v>
      </c>
      <c r="M21" s="36" t="n">
        <f>0</f>
        <v>0.0</v>
      </c>
      <c r="N21" s="21" t="n">
        <f>996000000</f>
        <v>9.96E8</v>
      </c>
      <c r="O21" s="36" t="n">
        <f>996000000</f>
        <v>9.96E8</v>
      </c>
    </row>
    <row r="22" spans="1:15" ht="24.9" customHeight="1">
      <c r="A22" s="38"/>
      <c r="B22" s="62"/>
      <c r="C22" s="20" t="s">
        <v>17</v>
      </c>
      <c r="D22" s="21" t="n">
        <f>424</f>
        <v>424.0</v>
      </c>
      <c r="E22" s="36" t="n">
        <f>424</f>
        <v>424.0</v>
      </c>
      <c r="F22" s="21" t="n">
        <f>200</f>
        <v>200.0</v>
      </c>
      <c r="G22" s="36" t="n">
        <f>200</f>
        <v>200.0</v>
      </c>
      <c r="H22" s="21" t="n">
        <f>624</f>
        <v>624.0</v>
      </c>
      <c r="I22" s="36" t="n">
        <f>624</f>
        <v>624.0</v>
      </c>
      <c r="J22" s="21" t="n">
        <f>612274200</f>
        <v>6.122742E8</v>
      </c>
      <c r="K22" s="36" t="n">
        <f>612274200</f>
        <v>6.122742E8</v>
      </c>
      <c r="L22" s="21" t="n">
        <f>343750000</f>
        <v>3.4375E8</v>
      </c>
      <c r="M22" s="36" t="n">
        <f>343750000</f>
        <v>3.4375E8</v>
      </c>
      <c r="N22" s="21" t="n">
        <f>956024200</f>
        <v>9.560242E8</v>
      </c>
      <c r="O22" s="36" t="n">
        <f>956024200</f>
        <v>9.560242E8</v>
      </c>
    </row>
    <row r="23" spans="1:15" ht="24.9" customHeight="1">
      <c r="A23" s="38"/>
      <c r="B23" s="62"/>
      <c r="C23" s="24" t="s">
        <v>18</v>
      </c>
      <c r="D23" s="25" t="n">
        <f>855</f>
        <v>855.0</v>
      </c>
      <c r="E23" s="37" t="n">
        <f>855</f>
        <v>855.0</v>
      </c>
      <c r="F23" s="25" t="n">
        <f>200</f>
        <v>200.0</v>
      </c>
      <c r="G23" s="37" t="n">
        <f>200</f>
        <v>200.0</v>
      </c>
      <c r="H23" s="25" t="n">
        <f>1055</f>
        <v>1055.0</v>
      </c>
      <c r="I23" s="37" t="n">
        <f>1055</f>
        <v>1055.0</v>
      </c>
      <c r="J23" s="25" t="n">
        <f>1619224200</f>
        <v>1.6192242E9</v>
      </c>
      <c r="K23" s="37" t="n">
        <f>1619224200</f>
        <v>1.6192242E9</v>
      </c>
      <c r="L23" s="25" t="n">
        <f>343750000</f>
        <v>3.4375E8</v>
      </c>
      <c r="M23" s="37" t="n">
        <f>343750000</f>
        <v>3.4375E8</v>
      </c>
      <c r="N23" s="25" t="n">
        <f>1962974200</f>
        <v>1.9629742E9</v>
      </c>
      <c r="O23" s="37" t="n">
        <f>1962974200</f>
        <v>1.9629742E9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2</f>
        <v>2.0</v>
      </c>
      <c r="E36" s="18" t="n">
        <f>0</f>
        <v>0.0</v>
      </c>
      <c r="F36" s="17" t="n">
        <f>0</f>
        <v>0.0</v>
      </c>
      <c r="G36" s="18" t="n">
        <f>0</f>
        <v>0.0</v>
      </c>
      <c r="H36" s="17" t="n">
        <f>2</f>
        <v>2.0</v>
      </c>
      <c r="I36" s="18" t="n">
        <f>0</f>
        <v>0.0</v>
      </c>
      <c r="J36" s="17" t="n">
        <f>140000</f>
        <v>140000.0</v>
      </c>
      <c r="K36" s="18" t="n">
        <f>0</f>
        <v>0.0</v>
      </c>
      <c r="L36" s="17" t="n">
        <f>0</f>
        <v>0.0</v>
      </c>
      <c r="M36" s="18" t="n">
        <f>0</f>
        <v>0.0</v>
      </c>
      <c r="N36" s="17" t="n">
        <f>140000</f>
        <v>140000.0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0</f>
        <v>0.0</v>
      </c>
      <c r="E37" s="22" t="n">
        <f>0</f>
        <v>0.0</v>
      </c>
      <c r="F37" s="21" t="n">
        <f>20</f>
        <v>20.0</v>
      </c>
      <c r="G37" s="22" t="n">
        <f>0</f>
        <v>0.0</v>
      </c>
      <c r="H37" s="21" t="n">
        <f>20</f>
        <v>20.0</v>
      </c>
      <c r="I37" s="22" t="n">
        <f>0</f>
        <v>0.0</v>
      </c>
      <c r="J37" s="21" t="n">
        <f>0</f>
        <v>0.0</v>
      </c>
      <c r="K37" s="22" t="n">
        <f>0</f>
        <v>0.0</v>
      </c>
      <c r="L37" s="21" t="n">
        <f>2400000</f>
        <v>2400000.0</v>
      </c>
      <c r="M37" s="22" t="n">
        <f>0</f>
        <v>0.0</v>
      </c>
      <c r="N37" s="21" t="n">
        <f>2400000</f>
        <v>2400000.0</v>
      </c>
      <c r="O37" s="22" t="n">
        <f>0</f>
        <v>0.0</v>
      </c>
    </row>
    <row r="38" spans="1:15" ht="24.9" customHeight="1">
      <c r="A38" s="38"/>
      <c r="B38" s="62"/>
      <c r="C38" s="20" t="s">
        <v>17</v>
      </c>
      <c r="D38" s="21" t="n">
        <f>0</f>
        <v>0.0</v>
      </c>
      <c r="E38" s="36" t="n">
        <f>0</f>
        <v>0.0</v>
      </c>
      <c r="F38" s="21" t="n">
        <f>75</f>
        <v>75.0</v>
      </c>
      <c r="G38" s="36" t="n">
        <f>75</f>
        <v>75.0</v>
      </c>
      <c r="H38" s="21" t="n">
        <f>75</f>
        <v>75.0</v>
      </c>
      <c r="I38" s="36" t="n">
        <f>75</f>
        <v>75.0</v>
      </c>
      <c r="J38" s="21" t="n">
        <f>0</f>
        <v>0.0</v>
      </c>
      <c r="K38" s="36" t="n">
        <f>0</f>
        <v>0.0</v>
      </c>
      <c r="L38" s="21" t="n">
        <f>9750000</f>
        <v>9750000.0</v>
      </c>
      <c r="M38" s="36" t="n">
        <f>9750000</f>
        <v>9750000.0</v>
      </c>
      <c r="N38" s="21" t="n">
        <f>9750000</f>
        <v>9750000.0</v>
      </c>
      <c r="O38" s="36" t="n">
        <f>9750000</f>
        <v>9750000.0</v>
      </c>
    </row>
    <row r="39" spans="1:15" ht="24.9" customHeight="1">
      <c r="A39" s="38"/>
      <c r="B39" s="62"/>
      <c r="C39" s="24" t="s">
        <v>18</v>
      </c>
      <c r="D39" s="25" t="n">
        <f>2</f>
        <v>2.0</v>
      </c>
      <c r="E39" s="37" t="n">
        <f>0</f>
        <v>0.0</v>
      </c>
      <c r="F39" s="25" t="n">
        <f>95</f>
        <v>95.0</v>
      </c>
      <c r="G39" s="37" t="n">
        <f>75</f>
        <v>75.0</v>
      </c>
      <c r="H39" s="25" t="n">
        <f>97</f>
        <v>97.0</v>
      </c>
      <c r="I39" s="37" t="n">
        <f>75</f>
        <v>75.0</v>
      </c>
      <c r="J39" s="25" t="n">
        <f>140000</f>
        <v>140000.0</v>
      </c>
      <c r="K39" s="37" t="n">
        <f>0</f>
        <v>0.0</v>
      </c>
      <c r="L39" s="25" t="n">
        <f>12150000</f>
        <v>1.215E7</v>
      </c>
      <c r="M39" s="37" t="n">
        <f>9750000</f>
        <v>9750000.0</v>
      </c>
      <c r="N39" s="25" t="n">
        <f>12290000</f>
        <v>1.229E7</v>
      </c>
      <c r="O39" s="37" t="n">
        <f>9750000</f>
        <v>9750000.0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532</f>
        <v>532.0</v>
      </c>
      <c r="E41" s="36" t="n">
        <f>0</f>
        <v>0.0</v>
      </c>
      <c r="F41" s="21" t="n">
        <f>4534</f>
        <v>4534.0</v>
      </c>
      <c r="G41" s="36" t="n">
        <f>4000</f>
        <v>4000.0</v>
      </c>
      <c r="H41" s="21" t="n">
        <f>5066</f>
        <v>5066.0</v>
      </c>
      <c r="I41" s="36" t="n">
        <f>4000</f>
        <v>4000.0</v>
      </c>
      <c r="J41" s="21" t="n">
        <f>12478930</f>
        <v>1.247893E7</v>
      </c>
      <c r="K41" s="36" t="n">
        <f>0</f>
        <v>0.0</v>
      </c>
      <c r="L41" s="21" t="n">
        <f>29952260</f>
        <v>2.995226E7</v>
      </c>
      <c r="M41" s="36" t="n">
        <f>13640000</f>
        <v>1.364E7</v>
      </c>
      <c r="N41" s="21" t="n">
        <f>42431190</f>
        <v>4.243119E7</v>
      </c>
      <c r="O41" s="36" t="n">
        <f>13640000</f>
        <v>1.364E7</v>
      </c>
    </row>
    <row r="42" spans="1:15" ht="24.9" customHeight="1">
      <c r="A42" s="38"/>
      <c r="B42" s="62"/>
      <c r="C42" s="20" t="s">
        <v>17</v>
      </c>
      <c r="D42" s="21" t="n">
        <f>1219</f>
        <v>1219.0</v>
      </c>
      <c r="E42" s="36" t="n">
        <f>0</f>
        <v>0.0</v>
      </c>
      <c r="F42" s="21" t="n">
        <f>30439</f>
        <v>30439.0</v>
      </c>
      <c r="G42" s="36" t="n">
        <f>30000</f>
        <v>30000.0</v>
      </c>
      <c r="H42" s="21" t="n">
        <f>31658</f>
        <v>31658.0</v>
      </c>
      <c r="I42" s="36" t="n">
        <f>30000</f>
        <v>30000.0</v>
      </c>
      <c r="J42" s="21" t="n">
        <f>12451920</f>
        <v>1.245192E7</v>
      </c>
      <c r="K42" s="36" t="n">
        <f>0</f>
        <v>0.0</v>
      </c>
      <c r="L42" s="21" t="n">
        <f>4455560</f>
        <v>4455560.0</v>
      </c>
      <c r="M42" s="36" t="n">
        <f>990000</f>
        <v>990000.0</v>
      </c>
      <c r="N42" s="21" t="n">
        <f>16907480</f>
        <v>1.690748E7</v>
      </c>
      <c r="O42" s="36" t="n">
        <f>990000</f>
        <v>990000.0</v>
      </c>
    </row>
    <row r="43" spans="1:15" ht="24.9" customHeight="1">
      <c r="A43" s="38"/>
      <c r="B43" s="62"/>
      <c r="C43" s="24" t="s">
        <v>18</v>
      </c>
      <c r="D43" s="25" t="n">
        <f>1751</f>
        <v>1751.0</v>
      </c>
      <c r="E43" s="37" t="n">
        <f>0</f>
        <v>0.0</v>
      </c>
      <c r="F43" s="25" t="n">
        <f>34973</f>
        <v>34973.0</v>
      </c>
      <c r="G43" s="37" t="n">
        <f>34000</f>
        <v>34000.0</v>
      </c>
      <c r="H43" s="25" t="n">
        <f>36724</f>
        <v>36724.0</v>
      </c>
      <c r="I43" s="37" t="n">
        <f>34000</f>
        <v>34000.0</v>
      </c>
      <c r="J43" s="25" t="n">
        <f>24930850</f>
        <v>2.493085E7</v>
      </c>
      <c r="K43" s="37" t="n">
        <f>0</f>
        <v>0.0</v>
      </c>
      <c r="L43" s="25" t="n">
        <f>34407820</f>
        <v>3.440782E7</v>
      </c>
      <c r="M43" s="37" t="n">
        <f>14630000</f>
        <v>1.463E7</v>
      </c>
      <c r="N43" s="25" t="n">
        <f>59338670</f>
        <v>5.933867E7</v>
      </c>
      <c r="O43" s="37" t="n">
        <f>14630000</f>
        <v>1.463E7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