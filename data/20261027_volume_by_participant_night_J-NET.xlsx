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<sst xmlns="http://schemas.openxmlformats.org/spreadsheetml/2006/main" count="160" uniqueCount="58">
  <si>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</si>
  <si>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</si>
  <si>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</si>
  <si>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</si>
  <si>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</si>
  <si>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</si>
  <si>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</si>
  <si>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</si>
  <si>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</si>
  <si>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20261027</t>
  </si>
  <si>
    <t>NK225F</t>
  </si>
  <si>
    <t>161120018</t>
  </si>
  <si>
    <t>NIKKEI 225 FUT 2612</t>
  </si>
  <si>
    <t>11560</t>
  </si>
  <si>
    <t>ゴールドマン証券</t>
  </si>
  <si>
    <t>Goldman Sachs Japan</t>
  </si>
  <si>
    <t>11256</t>
  </si>
  <si>
    <t>ＳＢＩ証券</t>
  </si>
  <si>
    <t>SBI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</si>
  <si>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</si>
  <si>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</si>
  <si>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</si>
  <si>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</si>
  <si>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</si>
  <si>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</si>
  <si>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</si>
  <si>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</si>
  <si>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</si>
  <si>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</si>
  <si>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</si>
  <si>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</si>
  <si>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</si>
  <si>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</si>
  <si>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</si>
  <si>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NK225MF</t>
  </si>
  <si>
    <t>161110019</t>
  </si>
  <si>
    <t>MINI NK225 FUT 2611</t>
  </si>
  <si>
    <t>161120019</t>
  </si>
  <si>
    <t>MINI NK225 FUT 2612</t>
  </si>
  <si>
    <t>12800</t>
  </si>
  <si>
    <t>モルガンＭＵＦＧ証券</t>
  </si>
  <si>
    <t>Morgan Stanley MUFG Securities</t>
  </si>
  <si>
    <t>162010019</t>
  </si>
  <si>
    <t>MINI NK225 FUT 2701</t>
  </si>
  <si>
    <t>TOPIXF</t>
  </si>
  <si>
    <t>161120005</t>
  </si>
  <si>
    <t>TOPIX FUT 2612</t>
  </si>
  <si>
    <t>NK225E</t>
  </si>
  <si>
    <t>131232518</t>
  </si>
  <si>
    <t>NIKKEI 225 OOP P2611-62500</t>
  </si>
  <si>
    <t>131233018</t>
  </si>
  <si>
    <t>NIKKEI 225 OOP P2611-63000</t>
  </si>
  <si>
    <t>141234018</t>
  </si>
  <si>
    <t>NIKKEI 225 OOP C2611-64000</t>
  </si>
  <si>
    <t>191113518</t>
  </si>
  <si>
    <t>NIKKEI 225 OOP C2611-63500</t>
  </si>
  <si>
    <t>141233018</t>
  </si>
  <si>
    <t>NIKKEI 225 OOP C2611-63000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</si>
</sst>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1480.0</f>
        <v>1480.0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421.0</f>
        <v>421.0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368.0</f>
        <v>368.0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46.0</f>
        <v>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20.0</f>
        <v>20.0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15.0</f>
        <v>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6.0</f>
        <v>6.0</v>
      </c>
    </row>
    <row r="16">
      <c r="A16" s="3" t="s">
        <v>34</v>
      </c>
      <c r="B16" s="4" t="s">
        <v>35</v>
      </c>
      <c r="C16" s="4" t="s">
        <v>36</v>
      </c>
      <c r="D16" s="3" t="n">
        <v>1.0</v>
      </c>
      <c r="E16" s="4" t="s">
        <v>16</v>
      </c>
      <c r="F16" s="4" t="s">
        <v>17</v>
      </c>
      <c r="G16" s="4" t="s">
        <v>18</v>
      </c>
      <c r="H16" s="5" t="n">
        <f>1748.0</f>
        <v>1748.0</v>
      </c>
    </row>
    <row r="17">
      <c r="A17" s="3" t="s">
        <v>34</v>
      </c>
      <c r="B17" s="4" t="s">
        <v>35</v>
      </c>
      <c r="C17" s="4" t="s">
        <v>36</v>
      </c>
      <c r="D17" s="3" t="n">
        <v>2.0</v>
      </c>
      <c r="E17" s="4" t="s">
        <v>19</v>
      </c>
      <c r="F17" s="4" t="s">
        <v>20</v>
      </c>
      <c r="G17" s="4" t="s">
        <v>21</v>
      </c>
      <c r="H17" s="5" t="n">
        <f>980.0</f>
        <v>980.0</v>
      </c>
    </row>
    <row r="18">
      <c r="A18" s="3" t="s">
        <v>34</v>
      </c>
      <c r="B18" s="4" t="s">
        <v>35</v>
      </c>
      <c r="C18" s="4" t="s">
        <v>36</v>
      </c>
      <c r="D18" s="3" t="n">
        <v>3.0</v>
      </c>
      <c r="E18" s="4" t="s">
        <v>22</v>
      </c>
      <c r="F18" s="4" t="s">
        <v>23</v>
      </c>
      <c r="G18" s="4" t="s">
        <v>24</v>
      </c>
      <c r="H18" s="5" t="n">
        <f>122.0</f>
        <v>122.0</v>
      </c>
    </row>
    <row r="19">
      <c r="A19" s="3" t="s">
        <v>34</v>
      </c>
      <c r="B19" s="4" t="s">
        <v>37</v>
      </c>
      <c r="C19" s="4" t="s">
        <v>38</v>
      </c>
      <c r="D19" s="3" t="n">
        <v>1.0</v>
      </c>
      <c r="E19" s="4" t="s">
        <v>16</v>
      </c>
      <c r="F19" s="4" t="s">
        <v>17</v>
      </c>
      <c r="G19" s="4" t="s">
        <v>18</v>
      </c>
      <c r="H19" s="5" t="n">
        <f>37724.0</f>
        <v>37724.0</v>
      </c>
    </row>
    <row r="20">
      <c r="A20" s="3" t="s">
        <v>34</v>
      </c>
      <c r="B20" s="4" t="s">
        <v>37</v>
      </c>
      <c r="C20" s="4" t="s">
        <v>38</v>
      </c>
      <c r="D20" s="3" t="n">
        <v>2.0</v>
      </c>
      <c r="E20" s="4" t="s">
        <v>19</v>
      </c>
      <c r="F20" s="4" t="s">
        <v>20</v>
      </c>
      <c r="G20" s="4" t="s">
        <v>21</v>
      </c>
      <c r="H20" s="5" t="n">
        <f>23322.0</f>
        <v>23322.0</v>
      </c>
    </row>
    <row r="21">
      <c r="A21" s="3" t="s">
        <v>34</v>
      </c>
      <c r="B21" s="4" t="s">
        <v>37</v>
      </c>
      <c r="C21" s="4" t="s">
        <v>38</v>
      </c>
      <c r="D21" s="3" t="n">
        <v>3.0</v>
      </c>
      <c r="E21" s="4" t="s">
        <v>22</v>
      </c>
      <c r="F21" s="4" t="s">
        <v>23</v>
      </c>
      <c r="G21" s="4" t="s">
        <v>24</v>
      </c>
      <c r="H21" s="5" t="n">
        <f>4478.0</f>
        <v>4478.0</v>
      </c>
    </row>
    <row r="22">
      <c r="A22" s="3" t="s">
        <v>34</v>
      </c>
      <c r="B22" s="4" t="s">
        <v>37</v>
      </c>
      <c r="C22" s="4" t="s">
        <v>38</v>
      </c>
      <c r="D22" s="3" t="n">
        <v>4.0</v>
      </c>
      <c r="E22" s="4" t="s">
        <v>13</v>
      </c>
      <c r="F22" s="4" t="s">
        <v>14</v>
      </c>
      <c r="G22" s="4" t="s">
        <v>15</v>
      </c>
      <c r="H22" s="5" t="n">
        <f>62.0</f>
        <v>62.0</v>
      </c>
    </row>
    <row r="23">
      <c r="A23" s="3" t="s">
        <v>34</v>
      </c>
      <c r="B23" s="4" t="s">
        <v>37</v>
      </c>
      <c r="C23" s="4" t="s">
        <v>38</v>
      </c>
      <c r="D23" s="3" t="n">
        <v>5.0</v>
      </c>
      <c r="E23" s="4" t="s">
        <v>39</v>
      </c>
      <c r="F23" s="4" t="s">
        <v>40</v>
      </c>
      <c r="G23" s="4" t="s">
        <v>41</v>
      </c>
      <c r="H23" s="5" t="n">
        <f>6.0</f>
        <v>6.0</v>
      </c>
    </row>
    <row r="24">
      <c r="A24" s="3" t="s">
        <v>34</v>
      </c>
      <c r="B24" s="4" t="s">
        <v>42</v>
      </c>
      <c r="C24" s="4" t="s">
        <v>43</v>
      </c>
      <c r="D24" s="3" t="n">
        <v>1.0</v>
      </c>
      <c r="E24" s="4" t="s">
        <v>16</v>
      </c>
      <c r="F24" s="4" t="s">
        <v>17</v>
      </c>
      <c r="G24" s="4" t="s">
        <v>18</v>
      </c>
      <c r="H24" s="5" t="n">
        <f>24.0</f>
        <v>24.0</v>
      </c>
    </row>
    <row r="25">
      <c r="A25" s="3" t="s">
        <v>34</v>
      </c>
      <c r="B25" s="4" t="s">
        <v>42</v>
      </c>
      <c r="C25" s="4" t="s">
        <v>43</v>
      </c>
      <c r="D25" s="3" t="n">
        <v>2.0</v>
      </c>
      <c r="E25" s="4" t="s">
        <v>19</v>
      </c>
      <c r="F25" s="4" t="s">
        <v>20</v>
      </c>
      <c r="G25" s="4" t="s">
        <v>21</v>
      </c>
      <c r="H25" s="5" t="n">
        <f>20.0</f>
        <v>20.0</v>
      </c>
    </row>
    <row r="26">
      <c r="A26" s="3" t="s">
        <v>44</v>
      </c>
      <c r="B26" s="4" t="s">
        <v>45</v>
      </c>
      <c r="C26" s="4" t="s">
        <v>46</v>
      </c>
      <c r="D26" s="3" t="n">
        <v>1.0</v>
      </c>
      <c r="E26" s="4" t="s">
        <v>16</v>
      </c>
      <c r="F26" s="4" t="s">
        <v>17</v>
      </c>
      <c r="G26" s="4" t="s">
        <v>18</v>
      </c>
      <c r="H26" s="5" t="n">
        <f>10.0</f>
        <v>10.0</v>
      </c>
    </row>
    <row r="27">
      <c r="A27" s="3" t="s">
        <v>44</v>
      </c>
      <c r="B27" s="4" t="s">
        <v>45</v>
      </c>
      <c r="C27" s="4" t="s">
        <v>46</v>
      </c>
      <c r="D27" s="3" t="n">
        <v>2.0</v>
      </c>
      <c r="E27" s="4" t="s">
        <v>22</v>
      </c>
      <c r="F27" s="4" t="s">
        <v>23</v>
      </c>
      <c r="G27" s="4" t="s">
        <v>24</v>
      </c>
      <c r="H27" s="5" t="n">
        <f>4.0</f>
        <v>4.0</v>
      </c>
    </row>
    <row r="28">
      <c r="A28" s="3" t="s">
        <v>44</v>
      </c>
      <c r="B28" s="4" t="s">
        <v>45</v>
      </c>
      <c r="C28" s="4" t="s">
        <v>46</v>
      </c>
      <c r="D28" s="3" t="n">
        <v>2.0</v>
      </c>
      <c r="E28" s="4" t="s">
        <v>13</v>
      </c>
      <c r="F28" s="4" t="s">
        <v>14</v>
      </c>
      <c r="G28" s="4" t="s">
        <v>15</v>
      </c>
      <c r="H28" s="5" t="n">
        <f>4.0</f>
        <v>4.0</v>
      </c>
    </row>
    <row r="29">
      <c r="A29" s="3" t="s">
        <v>47</v>
      </c>
      <c r="B29" s="4" t="s">
        <v>48</v>
      </c>
      <c r="C29" s="4" t="s">
        <v>49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2.0</f>
        <v>2.0</v>
      </c>
    </row>
    <row r="30">
      <c r="A30" s="3" t="s">
        <v>47</v>
      </c>
      <c r="B30" s="4" t="s">
        <v>50</v>
      </c>
      <c r="C30" s="4" t="s">
        <v>51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2.0</f>
        <v>2.0</v>
      </c>
    </row>
    <row r="31">
      <c r="A31" s="3" t="s">
        <v>47</v>
      </c>
      <c r="B31" s="4" t="s">
        <v>52</v>
      </c>
      <c r="C31" s="4" t="s">
        <v>53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2.0</f>
        <v>2.0</v>
      </c>
    </row>
    <row r="32">
      <c r="A32" s="3" t="s">
        <v>47</v>
      </c>
      <c r="B32" s="4" t="s">
        <v>54</v>
      </c>
      <c r="C32" s="4" t="s">
        <v>55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2.0</f>
        <v>2.0</v>
      </c>
    </row>
    <row r="33">
      <c r="A33" s="3" t="s">
        <v>47</v>
      </c>
      <c r="B33" s="4" t="s">
        <v>56</v>
      </c>
      <c r="C33" s="4" t="s">
        <v>57</v>
      </c>
      <c r="D33" s="3" t="n">
        <v>1.0</v>
      </c>
      <c r="E33" s="4" t="s">
        <v>19</v>
      </c>
      <c r="F33" s="4" t="s">
        <v>20</v>
      </c>
      <c r="G33" s="4" t="s">
        <v>21</v>
      </c>
      <c r="H33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