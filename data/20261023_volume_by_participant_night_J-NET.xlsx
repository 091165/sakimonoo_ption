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<sst xmlns="http://schemas.openxmlformats.org/spreadsheetml/2006/main" count="226" uniqueCount="67">
  <si>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</si>
  <si>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</si>
  <si>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</si>
  <si>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</si>
  <si>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</si>
  <si>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</si>
  <si>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</si>
  <si>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</si>
  <si>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</si>
  <si>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20261023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</si>
  <si>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</si>
  <si>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</si>
  <si>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</si>
  <si>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</si>
  <si>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</si>
  <si>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</si>
  <si>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</si>
  <si>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</si>
  <si>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</si>
  <si>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</si>
  <si>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</si>
  <si>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</si>
  <si>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</si>
  <si>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</si>
  <si>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</si>
  <si>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</si>
  <si>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</si>
  <si>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</si>
  <si>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</si>
  <si>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</si>
  <si>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</si>
  <si>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</si>
  <si>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</si>
  <si>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</si>
  <si>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12176</t>
  </si>
  <si>
    <t>ドイツ証券</t>
  </si>
  <si>
    <t>Deutsche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</si>
  <si>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</si>
  <si>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</si>
  <si>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</si>
  <si>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</si>
  <si>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</si>
  <si>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</si>
  <si>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</si>
  <si>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</si>
  <si>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</si>
  <si>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</si>
  <si>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</si>
  <si>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</si>
  <si>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</si>
  <si>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</si>
  <si>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</si>
  <si>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</si>
  <si>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</si>
  <si>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</si>
  <si>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</si>
  <si>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</si>
  <si>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</si>
  <si>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</si>
  <si>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131232018</t>
  </si>
  <si>
    <t>NIKKEI 225 OOP P2611-62000</t>
  </si>
  <si>
    <t>131233018</t>
  </si>
  <si>
    <t>NIKKEI 225 OOP P2611-63000</t>
  </si>
  <si>
    <t>191113518</t>
  </si>
  <si>
    <t>NIKKEI 225 OOP C2611-63500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</si>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</sst>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783.0</f>
        <v>783.0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232.0</f>
        <v>232.0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170.0</f>
        <v>170.0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117.0</f>
        <v>117.0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82.0</f>
        <v>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67.0</f>
        <v>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42.0</f>
        <v>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30.0</f>
        <v>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8.0</f>
        <v>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5.0</f>
        <v>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4.0</f>
        <v>4.0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16</v>
      </c>
      <c r="F20" s="4" t="s">
        <v>17</v>
      </c>
      <c r="G20" s="4" t="s">
        <v>18</v>
      </c>
      <c r="H20" s="5" t="n">
        <f>4.0</f>
        <v>4.0</v>
      </c>
    </row>
    <row r="21">
      <c r="A21" s="3" t="s">
        <v>10</v>
      </c>
      <c r="B21" s="4" t="s">
        <v>46</v>
      </c>
      <c r="C21" s="4" t="s">
        <v>47</v>
      </c>
      <c r="D21" s="3" t="n">
        <v>2.0</v>
      </c>
      <c r="E21" s="4" t="s">
        <v>19</v>
      </c>
      <c r="F21" s="4" t="s">
        <v>20</v>
      </c>
      <c r="G21" s="4" t="s">
        <v>21</v>
      </c>
      <c r="H21" s="5" t="n">
        <f>2.0</f>
        <v>2.0</v>
      </c>
    </row>
    <row r="22">
      <c r="A22" s="3" t="s">
        <v>10</v>
      </c>
      <c r="B22" s="4" t="s">
        <v>46</v>
      </c>
      <c r="C22" s="4" t="s">
        <v>47</v>
      </c>
      <c r="D22" s="3" t="n">
        <v>2.0</v>
      </c>
      <c r="E22" s="4" t="s">
        <v>13</v>
      </c>
      <c r="F22" s="4" t="s">
        <v>14</v>
      </c>
      <c r="G22" s="4" t="s">
        <v>15</v>
      </c>
      <c r="H22" s="5" t="n">
        <f>2.0</f>
        <v>2.0</v>
      </c>
    </row>
    <row r="23">
      <c r="A23" s="3" t="s">
        <v>48</v>
      </c>
      <c r="B23" s="4" t="s">
        <v>49</v>
      </c>
      <c r="C23" s="4" t="s">
        <v>50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2306.0</f>
        <v>2306.0</v>
      </c>
    </row>
    <row r="24">
      <c r="A24" s="3" t="s">
        <v>48</v>
      </c>
      <c r="B24" s="4" t="s">
        <v>49</v>
      </c>
      <c r="C24" s="4" t="s">
        <v>50</v>
      </c>
      <c r="D24" s="3" t="n">
        <v>2.0</v>
      </c>
      <c r="E24" s="4" t="s">
        <v>16</v>
      </c>
      <c r="F24" s="4" t="s">
        <v>17</v>
      </c>
      <c r="G24" s="4" t="s">
        <v>18</v>
      </c>
      <c r="H24" s="5" t="n">
        <f>1310.0</f>
        <v>1310.0</v>
      </c>
    </row>
    <row r="25">
      <c r="A25" s="3" t="s">
        <v>48</v>
      </c>
      <c r="B25" s="4" t="s">
        <v>49</v>
      </c>
      <c r="C25" s="4" t="s">
        <v>50</v>
      </c>
      <c r="D25" s="3" t="n">
        <v>3.0</v>
      </c>
      <c r="E25" s="4" t="s">
        <v>19</v>
      </c>
      <c r="F25" s="4" t="s">
        <v>20</v>
      </c>
      <c r="G25" s="4" t="s">
        <v>21</v>
      </c>
      <c r="H25" s="5" t="n">
        <f>102.0</f>
        <v>102.0</v>
      </c>
    </row>
    <row r="26">
      <c r="A26" s="3" t="s">
        <v>48</v>
      </c>
      <c r="B26" s="4" t="s">
        <v>51</v>
      </c>
      <c r="C26" s="4" t="s">
        <v>52</v>
      </c>
      <c r="D26" s="3" t="n">
        <v>1.0</v>
      </c>
      <c r="E26" s="4" t="s">
        <v>13</v>
      </c>
      <c r="F26" s="4" t="s">
        <v>14</v>
      </c>
      <c r="G26" s="4" t="s">
        <v>15</v>
      </c>
      <c r="H26" s="5" t="n">
        <f>50020.0</f>
        <v>50020.0</v>
      </c>
    </row>
    <row r="27">
      <c r="A27" s="3" t="s">
        <v>48</v>
      </c>
      <c r="B27" s="4" t="s">
        <v>51</v>
      </c>
      <c r="C27" s="4" t="s">
        <v>52</v>
      </c>
      <c r="D27" s="3" t="n">
        <v>2.0</v>
      </c>
      <c r="E27" s="4" t="s">
        <v>16</v>
      </c>
      <c r="F27" s="4" t="s">
        <v>17</v>
      </c>
      <c r="G27" s="4" t="s">
        <v>18</v>
      </c>
      <c r="H27" s="5" t="n">
        <f>24478.0</f>
        <v>24478.0</v>
      </c>
    </row>
    <row r="28">
      <c r="A28" s="3" t="s">
        <v>48</v>
      </c>
      <c r="B28" s="4" t="s">
        <v>51</v>
      </c>
      <c r="C28" s="4" t="s">
        <v>52</v>
      </c>
      <c r="D28" s="3" t="n">
        <v>3.0</v>
      </c>
      <c r="E28" s="4" t="s">
        <v>19</v>
      </c>
      <c r="F28" s="4" t="s">
        <v>20</v>
      </c>
      <c r="G28" s="4" t="s">
        <v>21</v>
      </c>
      <c r="H28" s="5" t="n">
        <f>5036.0</f>
        <v>5036.0</v>
      </c>
    </row>
    <row r="29">
      <c r="A29" s="3" t="s">
        <v>48</v>
      </c>
      <c r="B29" s="4" t="s">
        <v>51</v>
      </c>
      <c r="C29" s="4" t="s">
        <v>52</v>
      </c>
      <c r="D29" s="3" t="n">
        <v>4.0</v>
      </c>
      <c r="E29" s="4" t="s">
        <v>37</v>
      </c>
      <c r="F29" s="4" t="s">
        <v>38</v>
      </c>
      <c r="G29" s="4" t="s">
        <v>39</v>
      </c>
      <c r="H29" s="5" t="n">
        <f>114.0</f>
        <v>114.0</v>
      </c>
    </row>
    <row r="30">
      <c r="A30" s="3" t="s">
        <v>48</v>
      </c>
      <c r="B30" s="4" t="s">
        <v>51</v>
      </c>
      <c r="C30" s="4" t="s">
        <v>52</v>
      </c>
      <c r="D30" s="3" t="n">
        <v>5.0</v>
      </c>
      <c r="E30" s="4" t="s">
        <v>22</v>
      </c>
      <c r="F30" s="4" t="s">
        <v>23</v>
      </c>
      <c r="G30" s="4" t="s">
        <v>24</v>
      </c>
      <c r="H30" s="5" t="n">
        <f>20.0</f>
        <v>20.0</v>
      </c>
    </row>
    <row r="31">
      <c r="A31" s="3" t="s">
        <v>48</v>
      </c>
      <c r="B31" s="4" t="s">
        <v>51</v>
      </c>
      <c r="C31" s="4" t="s">
        <v>52</v>
      </c>
      <c r="D31" s="3" t="n">
        <v>5.0</v>
      </c>
      <c r="E31" s="4" t="s">
        <v>25</v>
      </c>
      <c r="F31" s="4" t="s">
        <v>26</v>
      </c>
      <c r="G31" s="4" t="s">
        <v>27</v>
      </c>
      <c r="H31" s="5" t="n">
        <f>20.0</f>
        <v>20.0</v>
      </c>
    </row>
    <row r="32">
      <c r="A32" s="3" t="s">
        <v>48</v>
      </c>
      <c r="B32" s="4" t="s">
        <v>53</v>
      </c>
      <c r="C32" s="4" t="s">
        <v>54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14.0</f>
        <v>14.0</v>
      </c>
    </row>
    <row r="33">
      <c r="A33" s="3" t="s">
        <v>48</v>
      </c>
      <c r="B33" s="4" t="s">
        <v>53</v>
      </c>
      <c r="C33" s="4" t="s">
        <v>54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12.0</f>
        <v>12.0</v>
      </c>
    </row>
    <row r="34">
      <c r="A34" s="3" t="s">
        <v>48</v>
      </c>
      <c r="B34" s="4" t="s">
        <v>53</v>
      </c>
      <c r="C34" s="4" t="s">
        <v>54</v>
      </c>
      <c r="D34" s="3" t="n">
        <v>3.0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55</v>
      </c>
      <c r="B35" s="4" t="s">
        <v>56</v>
      </c>
      <c r="C35" s="4" t="s">
        <v>57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570.0</f>
        <v>570.0</v>
      </c>
    </row>
    <row r="36">
      <c r="A36" s="3" t="s">
        <v>55</v>
      </c>
      <c r="B36" s="4" t="s">
        <v>56</v>
      </c>
      <c r="C36" s="4" t="s">
        <v>57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8.0</f>
        <v>8.0</v>
      </c>
    </row>
    <row r="37">
      <c r="A37" s="3" t="s">
        <v>55</v>
      </c>
      <c r="B37" s="4" t="s">
        <v>56</v>
      </c>
      <c r="C37" s="4" t="s">
        <v>57</v>
      </c>
      <c r="D37" s="3" t="n">
        <v>2.0</v>
      </c>
      <c r="E37" s="4" t="s">
        <v>28</v>
      </c>
      <c r="F37" s="4" t="s">
        <v>29</v>
      </c>
      <c r="G37" s="4" t="s">
        <v>30</v>
      </c>
      <c r="H37" s="5" t="n">
        <f>8.0</f>
        <v>8.0</v>
      </c>
    </row>
    <row r="38">
      <c r="A38" s="3" t="s">
        <v>55</v>
      </c>
      <c r="B38" s="4" t="s">
        <v>56</v>
      </c>
      <c r="C38" s="4" t="s">
        <v>57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4.0</f>
        <v>4.0</v>
      </c>
    </row>
    <row r="39">
      <c r="A39" s="3" t="s">
        <v>55</v>
      </c>
      <c r="B39" s="4" t="s">
        <v>56</v>
      </c>
      <c r="C39" s="4" t="s">
        <v>57</v>
      </c>
      <c r="D39" s="3" t="n">
        <v>5.0</v>
      </c>
      <c r="E39" s="4" t="s">
        <v>13</v>
      </c>
      <c r="F39" s="4" t="s">
        <v>14</v>
      </c>
      <c r="G39" s="4" t="s">
        <v>15</v>
      </c>
      <c r="H39" s="5" t="n">
        <f>2.0</f>
        <v>2.0</v>
      </c>
    </row>
    <row r="40">
      <c r="A40" s="3" t="s">
        <v>58</v>
      </c>
      <c r="B40" s="4" t="s">
        <v>59</v>
      </c>
      <c r="C40" s="4" t="s">
        <v>60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8.0</f>
        <v>8.0</v>
      </c>
    </row>
    <row r="41">
      <c r="A41" s="3" t="s">
        <v>58</v>
      </c>
      <c r="B41" s="4" t="s">
        <v>59</v>
      </c>
      <c r="C41" s="4" t="s">
        <v>60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6.0</f>
        <v>6.0</v>
      </c>
    </row>
    <row r="42">
      <c r="A42" s="3" t="s">
        <v>58</v>
      </c>
      <c r="B42" s="4" t="s">
        <v>61</v>
      </c>
      <c r="C42" s="4" t="s">
        <v>62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6.0</f>
        <v>6.0</v>
      </c>
    </row>
    <row r="43">
      <c r="A43" s="3" t="s">
        <v>58</v>
      </c>
      <c r="B43" s="4" t="s">
        <v>63</v>
      </c>
      <c r="C43" s="4" t="s">
        <v>64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  <row r="44">
      <c r="A44" s="3" t="s">
        <v>58</v>
      </c>
      <c r="B44" s="4" t="s">
        <v>65</v>
      </c>
      <c r="C44" s="4" t="s">
        <v>66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