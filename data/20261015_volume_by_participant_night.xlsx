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<sst xmlns="http://schemas.openxmlformats.org/spreadsheetml/2006/main" count="730" uniqueCount="122">
  <si>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</si>
  <si>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</si>
  <si>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</si>
  <si>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</si>
  <si>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</si>
  <si>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</si>
  <si>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</si>
  <si>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</si>
  <si>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</si>
  <si>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20261015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</si>
  <si>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</si>
  <si>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</si>
  <si>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</si>
  <si>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</si>
  <si>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</si>
  <si>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</si>
  <si>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</si>
  <si>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</si>
  <si>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</si>
  <si>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</si>
  <si>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</si>
  <si>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</si>
  <si>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</si>
  <si>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</si>
  <si>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</si>
  <si>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</si>
  <si>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</si>
  <si>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</si>
  <si>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</si>
  <si>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</si>
  <si>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</si>
  <si>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</si>
  <si>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</si>
  <si>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</si>
  <si>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</si>
  <si>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</si>
  <si>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</si>
  <si>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</si>
  <si>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</si>
  <si>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</si>
  <si>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12057</t>
  </si>
  <si>
    <t>楽天証券</t>
  </si>
  <si>
    <t>Rakuten Securities</t>
  </si>
  <si>
    <t>12176</t>
  </si>
  <si>
    <t>ドイツ証券</t>
  </si>
  <si>
    <t>Deutsche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</si>
  <si>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</si>
  <si>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</si>
  <si>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</si>
  <si>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</si>
  <si>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</si>
  <si>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</si>
  <si>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</si>
  <si>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</si>
  <si>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</si>
  <si>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</si>
  <si>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</si>
  <si>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</si>
  <si>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</si>
  <si>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</si>
  <si>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</si>
  <si>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</si>
  <si>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</si>
  <si>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</si>
  <si>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</si>
  <si>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</si>
  <si>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</si>
  <si>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</si>
  <si>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</si>
  <si>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</si>
  <si>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12888</t>
  </si>
  <si>
    <t>山和証券</t>
  </si>
  <si>
    <t>YAMAWA SECURITIES</t>
  </si>
  <si>
    <t>162030018</t>
  </si>
  <si>
    <t>NIKKEI 225 FUT 2703</t>
  </si>
  <si>
    <t>NK225MF</t>
  </si>
  <si>
    <t>161110019</t>
  </si>
  <si>
    <t>MINI NK225 FUT 2611</t>
  </si>
  <si>
    <t>12288</t>
  </si>
  <si>
    <t>フィリップ・キャ証券</t>
  </si>
  <si>
    <t>PhillipCapital Japan</t>
  </si>
  <si>
    <t>12712</t>
  </si>
  <si>
    <t>三田証券</t>
  </si>
  <si>
    <t>MITA SECURITIES</t>
  </si>
  <si>
    <t>11544</t>
  </si>
  <si>
    <t>岩井コスモ証券</t>
  </si>
  <si>
    <t>IwaiCosmo Securities</t>
  </si>
  <si>
    <t>161120019</t>
  </si>
  <si>
    <t>MINI NK225 FUT 2612</t>
  </si>
  <si>
    <t>11746</t>
  </si>
  <si>
    <t>ＵＢＳ証券</t>
  </si>
  <si>
    <t>UBS Securities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</si>
  <si>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</si>
  <si>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</si>
  <si>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</si>
  <si>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</si>
  <si>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</si>
  <si>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</si>
  <si>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12000</t>
  </si>
  <si>
    <t>大和証券</t>
  </si>
  <si>
    <t>Daiwa Securities</t>
  </si>
  <si>
    <t>162010019</t>
  </si>
  <si>
    <t>MINI NK225 FUT 2701</t>
  </si>
  <si>
    <t>TOPIXF</t>
  </si>
  <si>
    <t>161120005</t>
  </si>
  <si>
    <t>TOPIX FUT 2612</t>
  </si>
  <si>
    <t>12464</t>
  </si>
  <si>
    <t>広田証券</t>
  </si>
  <si>
    <t>Hirota Securities</t>
  </si>
  <si>
    <t>NK225E</t>
  </si>
  <si>
    <t>181113518</t>
  </si>
  <si>
    <t>NIKKEI 225 OOP P2611-63500</t>
  </si>
  <si>
    <t>131113618</t>
  </si>
  <si>
    <t>NIKKEI 225 OOP P2611-63625</t>
  </si>
  <si>
    <t>181113718</t>
  </si>
  <si>
    <t>NIKKEI 225 OOP P2611-63750</t>
  </si>
  <si>
    <t>131234018</t>
  </si>
  <si>
    <t>NIKKEI 225 OOP P2611-64000</t>
  </si>
  <si>
    <t>181114218</t>
  </si>
  <si>
    <t>NIKKEI 225 OOP P2611-64250</t>
  </si>
  <si>
    <t>131234518</t>
  </si>
  <si>
    <t>NIKKEI 225 OOP P2611-64500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</si>
</sst>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9214.0</f>
        <v>9214.0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4638.0</f>
        <v>4638.0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2112.0</f>
        <v>2112.0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1354.0</f>
        <v>1354.0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1017.0</f>
        <v>1017.0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834.0</f>
        <v>834.0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639.0</f>
        <v>639.0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636.0</f>
        <v>636.0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602.0</f>
        <v>602.0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454.0</f>
        <v>454.0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427.0</f>
        <v>427.0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422.0</f>
        <v>422.0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369.0</f>
        <v>369.0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306.0</f>
        <v>306.0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193.0</f>
        <v>193.0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177.0</f>
        <v>177.0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156.0</f>
        <v>156.0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154.0</f>
        <v>154.0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130.0</f>
        <v>130.0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114.0</f>
        <v>114.0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26.0</f>
        <v>26.0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7.0</f>
        <v>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4740.0</f>
        <v>4740.0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37</v>
      </c>
      <c r="F39" s="4" t="s">
        <v>38</v>
      </c>
      <c r="G39" s="4" t="s">
        <v>39</v>
      </c>
      <c r="H39" s="5" t="n">
        <f>2622.0</f>
        <v>2622.0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2583.0</f>
        <v>2583.0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16</v>
      </c>
      <c r="F41" s="4" t="s">
        <v>17</v>
      </c>
      <c r="G41" s="4" t="s">
        <v>18</v>
      </c>
      <c r="H41" s="5" t="n">
        <f>2392.0</f>
        <v>2392.0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40</v>
      </c>
      <c r="F42" s="4" t="s">
        <v>41</v>
      </c>
      <c r="G42" s="4" t="s">
        <v>42</v>
      </c>
      <c r="H42" s="5" t="n">
        <f>1580.0</f>
        <v>1580.0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61</v>
      </c>
      <c r="F43" s="4" t="s">
        <v>62</v>
      </c>
      <c r="G43" s="4" t="s">
        <v>63</v>
      </c>
      <c r="H43" s="5" t="n">
        <f>452.0</f>
        <v>452.0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49</v>
      </c>
      <c r="F44" s="4" t="s">
        <v>50</v>
      </c>
      <c r="G44" s="4" t="s">
        <v>51</v>
      </c>
      <c r="H44" s="5" t="n">
        <f>375.0</f>
        <v>375.0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78</v>
      </c>
      <c r="F45" s="4" t="s">
        <v>79</v>
      </c>
      <c r="G45" s="4" t="s">
        <v>80</v>
      </c>
      <c r="H45" s="5" t="n">
        <f>272.0</f>
        <v>272.0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58</v>
      </c>
      <c r="F46" s="4" t="s">
        <v>59</v>
      </c>
      <c r="G46" s="4" t="s">
        <v>60</v>
      </c>
      <c r="H46" s="5" t="n">
        <f>200.0</f>
        <v>200.0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34</v>
      </c>
      <c r="F47" s="4" t="s">
        <v>35</v>
      </c>
      <c r="G47" s="4" t="s">
        <v>36</v>
      </c>
      <c r="H47" s="5" t="n">
        <f>178.0</f>
        <v>178.0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43</v>
      </c>
      <c r="F48" s="4" t="s">
        <v>44</v>
      </c>
      <c r="G48" s="4" t="s">
        <v>45</v>
      </c>
      <c r="H48" s="5" t="n">
        <f>150.0</f>
        <v>150.0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72.0</f>
        <v>72.0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67</v>
      </c>
      <c r="F50" s="4" t="s">
        <v>68</v>
      </c>
      <c r="G50" s="4" t="s">
        <v>69</v>
      </c>
      <c r="H50" s="5" t="n">
        <f>36.0</f>
        <v>36.0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25</v>
      </c>
      <c r="F51" s="4" t="s">
        <v>26</v>
      </c>
      <c r="G51" s="4" t="s">
        <v>27</v>
      </c>
      <c r="H51" s="5" t="n">
        <f>11.0</f>
        <v>11.0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64</v>
      </c>
      <c r="F52" s="4" t="s">
        <v>65</v>
      </c>
      <c r="G52" s="4" t="s">
        <v>66</v>
      </c>
      <c r="H52" s="5" t="n">
        <f>2.0</f>
        <v>2.0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81</v>
      </c>
      <c r="F53" s="4" t="s">
        <v>82</v>
      </c>
      <c r="G53" s="4" t="s">
        <v>83</v>
      </c>
      <c r="H53" s="5" t="n">
        <f>2.0</f>
        <v>2.0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84</v>
      </c>
      <c r="F54" s="4" t="s">
        <v>85</v>
      </c>
      <c r="G54" s="4" t="s">
        <v>86</v>
      </c>
      <c r="H54" s="5" t="n">
        <f>1.0</f>
        <v>1.0</v>
      </c>
    </row>
    <row r="55">
      <c r="A55" s="3" t="s">
        <v>75</v>
      </c>
      <c r="B55" s="4" t="s">
        <v>87</v>
      </c>
      <c r="C55" s="4" t="s">
        <v>88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211976.0</f>
        <v>211976.0</v>
      </c>
    </row>
    <row r="56">
      <c r="A56" s="3" t="s">
        <v>75</v>
      </c>
      <c r="B56" s="4" t="s">
        <v>87</v>
      </c>
      <c r="C56" s="4" t="s">
        <v>88</v>
      </c>
      <c r="D56" s="3" t="n">
        <v>2.0</v>
      </c>
      <c r="E56" s="4" t="s">
        <v>16</v>
      </c>
      <c r="F56" s="4" t="s">
        <v>17</v>
      </c>
      <c r="G56" s="4" t="s">
        <v>18</v>
      </c>
      <c r="H56" s="5" t="n">
        <f>101026.0</f>
        <v>101026.0</v>
      </c>
    </row>
    <row r="57">
      <c r="A57" s="3" t="s">
        <v>75</v>
      </c>
      <c r="B57" s="4" t="s">
        <v>87</v>
      </c>
      <c r="C57" s="4" t="s">
        <v>88</v>
      </c>
      <c r="D57" s="3" t="n">
        <v>3.0</v>
      </c>
      <c r="E57" s="4" t="s">
        <v>19</v>
      </c>
      <c r="F57" s="4" t="s">
        <v>20</v>
      </c>
      <c r="G57" s="4" t="s">
        <v>21</v>
      </c>
      <c r="H57" s="5" t="n">
        <f>86375.0</f>
        <v>86375.0</v>
      </c>
    </row>
    <row r="58">
      <c r="A58" s="3" t="s">
        <v>75</v>
      </c>
      <c r="B58" s="4" t="s">
        <v>87</v>
      </c>
      <c r="C58" s="4" t="s">
        <v>88</v>
      </c>
      <c r="D58" s="3" t="n">
        <v>4.0</v>
      </c>
      <c r="E58" s="4" t="s">
        <v>37</v>
      </c>
      <c r="F58" s="4" t="s">
        <v>38</v>
      </c>
      <c r="G58" s="4" t="s">
        <v>39</v>
      </c>
      <c r="H58" s="5" t="n">
        <f>42594.0</f>
        <v>42594.0</v>
      </c>
    </row>
    <row r="59">
      <c r="A59" s="3" t="s">
        <v>75</v>
      </c>
      <c r="B59" s="4" t="s">
        <v>87</v>
      </c>
      <c r="C59" s="4" t="s">
        <v>88</v>
      </c>
      <c r="D59" s="3" t="n">
        <v>5.0</v>
      </c>
      <c r="E59" s="4" t="s">
        <v>40</v>
      </c>
      <c r="F59" s="4" t="s">
        <v>41</v>
      </c>
      <c r="G59" s="4" t="s">
        <v>42</v>
      </c>
      <c r="H59" s="5" t="n">
        <f>26511.0</f>
        <v>26511.0</v>
      </c>
    </row>
    <row r="60">
      <c r="A60" s="3" t="s">
        <v>75</v>
      </c>
      <c r="B60" s="4" t="s">
        <v>87</v>
      </c>
      <c r="C60" s="4" t="s">
        <v>88</v>
      </c>
      <c r="D60" s="3" t="n">
        <v>6.0</v>
      </c>
      <c r="E60" s="4" t="s">
        <v>49</v>
      </c>
      <c r="F60" s="4" t="s">
        <v>50</v>
      </c>
      <c r="G60" s="4" t="s">
        <v>51</v>
      </c>
      <c r="H60" s="5" t="n">
        <f>21785.0</f>
        <v>21785.0</v>
      </c>
    </row>
    <row r="61">
      <c r="A61" s="3" t="s">
        <v>75</v>
      </c>
      <c r="B61" s="4" t="s">
        <v>87</v>
      </c>
      <c r="C61" s="4" t="s">
        <v>88</v>
      </c>
      <c r="D61" s="3" t="n">
        <v>7.0</v>
      </c>
      <c r="E61" s="4" t="s">
        <v>31</v>
      </c>
      <c r="F61" s="4" t="s">
        <v>32</v>
      </c>
      <c r="G61" s="4" t="s">
        <v>33</v>
      </c>
      <c r="H61" s="5" t="n">
        <f>10073.0</f>
        <v>10073.0</v>
      </c>
    </row>
    <row r="62">
      <c r="A62" s="3" t="s">
        <v>75</v>
      </c>
      <c r="B62" s="4" t="s">
        <v>87</v>
      </c>
      <c r="C62" s="4" t="s">
        <v>88</v>
      </c>
      <c r="D62" s="3" t="n">
        <v>8.0</v>
      </c>
      <c r="E62" s="4" t="s">
        <v>28</v>
      </c>
      <c r="F62" s="4" t="s">
        <v>29</v>
      </c>
      <c r="G62" s="4" t="s">
        <v>30</v>
      </c>
      <c r="H62" s="5" t="n">
        <f>9910.0</f>
        <v>9910.0</v>
      </c>
    </row>
    <row r="63">
      <c r="A63" s="3" t="s">
        <v>75</v>
      </c>
      <c r="B63" s="4" t="s">
        <v>87</v>
      </c>
      <c r="C63" s="4" t="s">
        <v>88</v>
      </c>
      <c r="D63" s="3" t="n">
        <v>9.0</v>
      </c>
      <c r="E63" s="4" t="s">
        <v>34</v>
      </c>
      <c r="F63" s="4" t="s">
        <v>35</v>
      </c>
      <c r="G63" s="4" t="s">
        <v>36</v>
      </c>
      <c r="H63" s="5" t="n">
        <f>7673.0</f>
        <v>7673.0</v>
      </c>
    </row>
    <row r="64">
      <c r="A64" s="3" t="s">
        <v>75</v>
      </c>
      <c r="B64" s="4" t="s">
        <v>87</v>
      </c>
      <c r="C64" s="4" t="s">
        <v>88</v>
      </c>
      <c r="D64" s="3" t="n">
        <v>10.0</v>
      </c>
      <c r="E64" s="4" t="s">
        <v>58</v>
      </c>
      <c r="F64" s="4" t="s">
        <v>59</v>
      </c>
      <c r="G64" s="4" t="s">
        <v>60</v>
      </c>
      <c r="H64" s="5" t="n">
        <f>6555.0</f>
        <v>6555.0</v>
      </c>
    </row>
    <row r="65">
      <c r="A65" s="3" t="s">
        <v>75</v>
      </c>
      <c r="B65" s="4" t="s">
        <v>87</v>
      </c>
      <c r="C65" s="4" t="s">
        <v>88</v>
      </c>
      <c r="D65" s="3" t="n">
        <v>11.0</v>
      </c>
      <c r="E65" s="4" t="s">
        <v>61</v>
      </c>
      <c r="F65" s="4" t="s">
        <v>62</v>
      </c>
      <c r="G65" s="4" t="s">
        <v>63</v>
      </c>
      <c r="H65" s="5" t="n">
        <f>6385.0</f>
        <v>6385.0</v>
      </c>
    </row>
    <row r="66">
      <c r="A66" s="3" t="s">
        <v>75</v>
      </c>
      <c r="B66" s="4" t="s">
        <v>87</v>
      </c>
      <c r="C66" s="4" t="s">
        <v>88</v>
      </c>
      <c r="D66" s="3" t="n">
        <v>12.0</v>
      </c>
      <c r="E66" s="4" t="s">
        <v>25</v>
      </c>
      <c r="F66" s="4" t="s">
        <v>26</v>
      </c>
      <c r="G66" s="4" t="s">
        <v>27</v>
      </c>
      <c r="H66" s="5" t="n">
        <f>5526.0</f>
        <v>5526.0</v>
      </c>
    </row>
    <row r="67">
      <c r="A67" s="3" t="s">
        <v>75</v>
      </c>
      <c r="B67" s="4" t="s">
        <v>87</v>
      </c>
      <c r="C67" s="4" t="s">
        <v>88</v>
      </c>
      <c r="D67" s="3" t="n">
        <v>13.0</v>
      </c>
      <c r="E67" s="4" t="s">
        <v>89</v>
      </c>
      <c r="F67" s="4" t="s">
        <v>90</v>
      </c>
      <c r="G67" s="4" t="s">
        <v>91</v>
      </c>
      <c r="H67" s="5" t="n">
        <f>4119.0</f>
        <v>4119.0</v>
      </c>
    </row>
    <row r="68">
      <c r="A68" s="3" t="s">
        <v>75</v>
      </c>
      <c r="B68" s="4" t="s">
        <v>87</v>
      </c>
      <c r="C68" s="4" t="s">
        <v>88</v>
      </c>
      <c r="D68" s="3" t="n">
        <v>14.0</v>
      </c>
      <c r="E68" s="4" t="s">
        <v>92</v>
      </c>
      <c r="F68" s="4" t="s">
        <v>93</v>
      </c>
      <c r="G68" s="4" t="s">
        <v>94</v>
      </c>
      <c r="H68" s="5" t="n">
        <f>3195.0</f>
        <v>3195.0</v>
      </c>
    </row>
    <row r="69">
      <c r="A69" s="3" t="s">
        <v>75</v>
      </c>
      <c r="B69" s="4" t="s">
        <v>87</v>
      </c>
      <c r="C69" s="4" t="s">
        <v>88</v>
      </c>
      <c r="D69" s="3" t="n">
        <v>15.0</v>
      </c>
      <c r="E69" s="4" t="s">
        <v>95</v>
      </c>
      <c r="F69" s="4" t="s">
        <v>96</v>
      </c>
      <c r="G69" s="4" t="s">
        <v>97</v>
      </c>
      <c r="H69" s="5" t="n">
        <f>3127.0</f>
        <v>3127.0</v>
      </c>
    </row>
    <row r="70">
      <c r="A70" s="3" t="s">
        <v>75</v>
      </c>
      <c r="B70" s="4" t="s">
        <v>87</v>
      </c>
      <c r="C70" s="4" t="s">
        <v>88</v>
      </c>
      <c r="D70" s="3" t="n">
        <v>16.0</v>
      </c>
      <c r="E70" s="4" t="s">
        <v>46</v>
      </c>
      <c r="F70" s="4" t="s">
        <v>47</v>
      </c>
      <c r="G70" s="4" t="s">
        <v>48</v>
      </c>
      <c r="H70" s="5" t="n">
        <f>2199.0</f>
        <v>2199.0</v>
      </c>
    </row>
    <row r="71">
      <c r="A71" s="3" t="s">
        <v>75</v>
      </c>
      <c r="B71" s="4" t="s">
        <v>87</v>
      </c>
      <c r="C71" s="4" t="s">
        <v>88</v>
      </c>
      <c r="D71" s="3" t="n">
        <v>17.0</v>
      </c>
      <c r="E71" s="4" t="s">
        <v>78</v>
      </c>
      <c r="F71" s="4" t="s">
        <v>79</v>
      </c>
      <c r="G71" s="4" t="s">
        <v>80</v>
      </c>
      <c r="H71" s="5" t="n">
        <f>1482.0</f>
        <v>1482.0</v>
      </c>
    </row>
    <row r="72">
      <c r="A72" s="3" t="s">
        <v>75</v>
      </c>
      <c r="B72" s="4" t="s">
        <v>87</v>
      </c>
      <c r="C72" s="4" t="s">
        <v>88</v>
      </c>
      <c r="D72" s="3" t="n">
        <v>18.0</v>
      </c>
      <c r="E72" s="4" t="s">
        <v>22</v>
      </c>
      <c r="F72" s="4" t="s">
        <v>23</v>
      </c>
      <c r="G72" s="4" t="s">
        <v>24</v>
      </c>
      <c r="H72" s="5" t="n">
        <f>1231.0</f>
        <v>1231.0</v>
      </c>
    </row>
    <row r="73">
      <c r="A73" s="3" t="s">
        <v>75</v>
      </c>
      <c r="B73" s="4" t="s">
        <v>87</v>
      </c>
      <c r="C73" s="4" t="s">
        <v>88</v>
      </c>
      <c r="D73" s="3" t="n">
        <v>19.0</v>
      </c>
      <c r="E73" s="4" t="s">
        <v>67</v>
      </c>
      <c r="F73" s="4" t="s">
        <v>68</v>
      </c>
      <c r="G73" s="4" t="s">
        <v>69</v>
      </c>
      <c r="H73" s="5" t="n">
        <f>852.0</f>
        <v>852.0</v>
      </c>
    </row>
    <row r="74">
      <c r="A74" s="3" t="s">
        <v>75</v>
      </c>
      <c r="B74" s="4" t="s">
        <v>87</v>
      </c>
      <c r="C74" s="4" t="s">
        <v>88</v>
      </c>
      <c r="D74" s="3" t="n">
        <v>20.0</v>
      </c>
      <c r="E74" s="4" t="s">
        <v>98</v>
      </c>
      <c r="F74" s="4" t="s">
        <v>99</v>
      </c>
      <c r="G74" s="4" t="s">
        <v>100</v>
      </c>
      <c r="H74" s="5" t="n">
        <f>737.0</f>
        <v>737.0</v>
      </c>
    </row>
    <row r="75">
      <c r="A75" s="3" t="s">
        <v>75</v>
      </c>
      <c r="B75" s="4" t="s">
        <v>101</v>
      </c>
      <c r="C75" s="4" t="s">
        <v>102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80.0</f>
        <v>80.0</v>
      </c>
    </row>
    <row r="76">
      <c r="A76" s="3" t="s">
        <v>75</v>
      </c>
      <c r="B76" s="4" t="s">
        <v>101</v>
      </c>
      <c r="C76" s="4" t="s">
        <v>102</v>
      </c>
      <c r="D76" s="3" t="n">
        <v>2.0</v>
      </c>
      <c r="E76" s="4" t="s">
        <v>37</v>
      </c>
      <c r="F76" s="4" t="s">
        <v>38</v>
      </c>
      <c r="G76" s="4" t="s">
        <v>39</v>
      </c>
      <c r="H76" s="5" t="n">
        <f>49.0</f>
        <v>49.0</v>
      </c>
    </row>
    <row r="77">
      <c r="A77" s="3" t="s">
        <v>75</v>
      </c>
      <c r="B77" s="4" t="s">
        <v>101</v>
      </c>
      <c r="C77" s="4" t="s">
        <v>102</v>
      </c>
      <c r="D77" s="3" t="n">
        <v>3.0</v>
      </c>
      <c r="E77" s="4" t="s">
        <v>78</v>
      </c>
      <c r="F77" s="4" t="s">
        <v>79</v>
      </c>
      <c r="G77" s="4" t="s">
        <v>80</v>
      </c>
      <c r="H77" s="5" t="n">
        <f>20.0</f>
        <v>20.0</v>
      </c>
    </row>
    <row r="78">
      <c r="A78" s="3" t="s">
        <v>75</v>
      </c>
      <c r="B78" s="4" t="s">
        <v>101</v>
      </c>
      <c r="C78" s="4" t="s">
        <v>102</v>
      </c>
      <c r="D78" s="3" t="n">
        <v>4.0</v>
      </c>
      <c r="E78" s="4" t="s">
        <v>40</v>
      </c>
      <c r="F78" s="4" t="s">
        <v>41</v>
      </c>
      <c r="G78" s="4" t="s">
        <v>42</v>
      </c>
      <c r="H78" s="5" t="n">
        <f>13.0</f>
        <v>13.0</v>
      </c>
    </row>
    <row r="79">
      <c r="A79" s="3" t="s">
        <v>75</v>
      </c>
      <c r="B79" s="4" t="s">
        <v>101</v>
      </c>
      <c r="C79" s="4" t="s">
        <v>102</v>
      </c>
      <c r="D79" s="3" t="n">
        <v>5.0</v>
      </c>
      <c r="E79" s="4" t="s">
        <v>13</v>
      </c>
      <c r="F79" s="4" t="s">
        <v>14</v>
      </c>
      <c r="G79" s="4" t="s">
        <v>15</v>
      </c>
      <c r="H79" s="5" t="n">
        <f>12.0</f>
        <v>12.0</v>
      </c>
    </row>
    <row r="80">
      <c r="A80" s="3" t="s">
        <v>75</v>
      </c>
      <c r="B80" s="4" t="s">
        <v>101</v>
      </c>
      <c r="C80" s="4" t="s">
        <v>102</v>
      </c>
      <c r="D80" s="3" t="n">
        <v>6.0</v>
      </c>
      <c r="E80" s="4" t="s">
        <v>43</v>
      </c>
      <c r="F80" s="4" t="s">
        <v>44</v>
      </c>
      <c r="G80" s="4" t="s">
        <v>45</v>
      </c>
      <c r="H80" s="5" t="n">
        <f>10.0</f>
        <v>10.0</v>
      </c>
    </row>
    <row r="81">
      <c r="A81" s="3" t="s">
        <v>75</v>
      </c>
      <c r="B81" s="4" t="s">
        <v>101</v>
      </c>
      <c r="C81" s="4" t="s">
        <v>102</v>
      </c>
      <c r="D81" s="3" t="n">
        <v>7.0</v>
      </c>
      <c r="E81" s="4" t="s">
        <v>34</v>
      </c>
      <c r="F81" s="4" t="s">
        <v>35</v>
      </c>
      <c r="G81" s="4" t="s">
        <v>36</v>
      </c>
      <c r="H81" s="5" t="n">
        <f>6.0</f>
        <v>6.0</v>
      </c>
    </row>
    <row r="82">
      <c r="A82" s="3" t="s">
        <v>75</v>
      </c>
      <c r="B82" s="4" t="s">
        <v>101</v>
      </c>
      <c r="C82" s="4" t="s">
        <v>102</v>
      </c>
      <c r="D82" s="3" t="n">
        <v>8.0</v>
      </c>
      <c r="E82" s="4" t="s">
        <v>61</v>
      </c>
      <c r="F82" s="4" t="s">
        <v>62</v>
      </c>
      <c r="G82" s="4" t="s">
        <v>63</v>
      </c>
      <c r="H82" s="5" t="n">
        <f>4.0</f>
        <v>4.0</v>
      </c>
    </row>
    <row r="83">
      <c r="A83" s="3" t="s">
        <v>75</v>
      </c>
      <c r="B83" s="4" t="s">
        <v>101</v>
      </c>
      <c r="C83" s="4" t="s">
        <v>102</v>
      </c>
      <c r="D83" s="3" t="n">
        <v>9.0</v>
      </c>
      <c r="E83" s="4" t="s">
        <v>58</v>
      </c>
      <c r="F83" s="4" t="s">
        <v>59</v>
      </c>
      <c r="G83" s="4" t="s">
        <v>60</v>
      </c>
      <c r="H83" s="5" t="n">
        <f>3.0</f>
        <v>3.0</v>
      </c>
    </row>
    <row r="84">
      <c r="A84" s="3" t="s">
        <v>75</v>
      </c>
      <c r="B84" s="4" t="s">
        <v>101</v>
      </c>
      <c r="C84" s="4" t="s">
        <v>102</v>
      </c>
      <c r="D84" s="3" t="n">
        <v>10.0</v>
      </c>
      <c r="E84" s="4" t="s">
        <v>55</v>
      </c>
      <c r="F84" s="4" t="s">
        <v>56</v>
      </c>
      <c r="G84" s="4" t="s">
        <v>57</v>
      </c>
      <c r="H84" s="5" t="n">
        <f>1.0</f>
        <v>1.0</v>
      </c>
    </row>
    <row r="85">
      <c r="A85" s="3" t="s">
        <v>75</v>
      </c>
      <c r="B85" s="4" t="s">
        <v>101</v>
      </c>
      <c r="C85" s="4" t="s">
        <v>102</v>
      </c>
      <c r="D85" s="3" t="n">
        <v>10.0</v>
      </c>
      <c r="E85" s="4" t="s">
        <v>49</v>
      </c>
      <c r="F85" s="4" t="s">
        <v>50</v>
      </c>
      <c r="G85" s="4" t="s">
        <v>51</v>
      </c>
      <c r="H85" s="5" t="n">
        <f>1.0</f>
        <v>1.0</v>
      </c>
    </row>
    <row r="86">
      <c r="A86" s="3" t="s">
        <v>75</v>
      </c>
      <c r="B86" s="4" t="s">
        <v>101</v>
      </c>
      <c r="C86" s="4" t="s">
        <v>102</v>
      </c>
      <c r="D86" s="3" t="n">
        <v>10.0</v>
      </c>
      <c r="E86" s="4" t="s">
        <v>67</v>
      </c>
      <c r="F86" s="4" t="s">
        <v>68</v>
      </c>
      <c r="G86" s="4" t="s">
        <v>69</v>
      </c>
      <c r="H86" s="5" t="n">
        <f>1.0</f>
        <v>1.0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6944.0</f>
        <v>6944.0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6732.0</f>
        <v>6732.0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16</v>
      </c>
      <c r="F89" s="4" t="s">
        <v>17</v>
      </c>
      <c r="G89" s="4" t="s">
        <v>18</v>
      </c>
      <c r="H89" s="5" t="n">
        <f>5503.0</f>
        <v>5503.0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22</v>
      </c>
      <c r="F90" s="4" t="s">
        <v>23</v>
      </c>
      <c r="G90" s="4" t="s">
        <v>24</v>
      </c>
      <c r="H90" s="5" t="n">
        <f>2687.0</f>
        <v>2687.0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34</v>
      </c>
      <c r="F91" s="4" t="s">
        <v>35</v>
      </c>
      <c r="G91" s="4" t="s">
        <v>36</v>
      </c>
      <c r="H91" s="5" t="n">
        <f>1470.0</f>
        <v>1470.0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25</v>
      </c>
      <c r="F92" s="4" t="s">
        <v>26</v>
      </c>
      <c r="G92" s="4" t="s">
        <v>27</v>
      </c>
      <c r="H92" s="5" t="n">
        <f>1225.0</f>
        <v>1225.0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28</v>
      </c>
      <c r="F93" s="4" t="s">
        <v>29</v>
      </c>
      <c r="G93" s="4" t="s">
        <v>30</v>
      </c>
      <c r="H93" s="5" t="n">
        <f>1224.0</f>
        <v>1224.0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64</v>
      </c>
      <c r="F94" s="4" t="s">
        <v>65</v>
      </c>
      <c r="G94" s="4" t="s">
        <v>66</v>
      </c>
      <c r="H94" s="5" t="n">
        <f>707.0</f>
        <v>707.0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46</v>
      </c>
      <c r="F95" s="4" t="s">
        <v>47</v>
      </c>
      <c r="G95" s="4" t="s">
        <v>48</v>
      </c>
      <c r="H95" s="5" t="n">
        <f>566.0</f>
        <v>566.0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89</v>
      </c>
      <c r="F96" s="4" t="s">
        <v>90</v>
      </c>
      <c r="G96" s="4" t="s">
        <v>91</v>
      </c>
      <c r="H96" s="5" t="n">
        <f>530.0</f>
        <v>530.0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92</v>
      </c>
      <c r="F97" s="4" t="s">
        <v>93</v>
      </c>
      <c r="G97" s="4" t="s">
        <v>94</v>
      </c>
      <c r="H97" s="5" t="n">
        <f>515.0</f>
        <v>515.0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55</v>
      </c>
      <c r="F98" s="4" t="s">
        <v>56</v>
      </c>
      <c r="G98" s="4" t="s">
        <v>57</v>
      </c>
      <c r="H98" s="5" t="n">
        <f>305.0</f>
        <v>305.0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37</v>
      </c>
      <c r="F99" s="4" t="s">
        <v>38</v>
      </c>
      <c r="G99" s="4" t="s">
        <v>39</v>
      </c>
      <c r="H99" s="5" t="n">
        <f>163.0</f>
        <v>163.0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31</v>
      </c>
      <c r="F100" s="4" t="s">
        <v>32</v>
      </c>
      <c r="G100" s="4" t="s">
        <v>33</v>
      </c>
      <c r="H100" s="5" t="n">
        <f>98.0</f>
        <v>98.0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58</v>
      </c>
      <c r="F101" s="4" t="s">
        <v>59</v>
      </c>
      <c r="G101" s="4" t="s">
        <v>60</v>
      </c>
      <c r="H101" s="5" t="n">
        <f>69.0</f>
        <v>69.0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67</v>
      </c>
      <c r="F102" s="4" t="s">
        <v>68</v>
      </c>
      <c r="G102" s="4" t="s">
        <v>69</v>
      </c>
      <c r="H102" s="5" t="n">
        <f>60.0</f>
        <v>60.0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95</v>
      </c>
      <c r="F103" s="4" t="s">
        <v>96</v>
      </c>
      <c r="G103" s="4" t="s">
        <v>97</v>
      </c>
      <c r="H103" s="5" t="n">
        <f>52.0</f>
        <v>52.0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52</v>
      </c>
      <c r="F104" s="4" t="s">
        <v>53</v>
      </c>
      <c r="G104" s="4" t="s">
        <v>54</v>
      </c>
      <c r="H104" s="5" t="n">
        <f>31.0</f>
        <v>31.0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78</v>
      </c>
      <c r="F105" s="4" t="s">
        <v>79</v>
      </c>
      <c r="G105" s="4" t="s">
        <v>80</v>
      </c>
      <c r="H105" s="5" t="n">
        <f>19.0</f>
        <v>19.0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106</v>
      </c>
      <c r="F106" s="4" t="s">
        <v>107</v>
      </c>
      <c r="G106" s="4" t="s">
        <v>108</v>
      </c>
      <c r="H106" s="5" t="n">
        <f>18.0</f>
        <v>18.0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7.0</f>
        <v>7.0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58</v>
      </c>
      <c r="F108" s="4" t="s">
        <v>59</v>
      </c>
      <c r="G108" s="4" t="s">
        <v>60</v>
      </c>
      <c r="H108" s="5" t="n">
        <f>2.0</f>
        <v>2.0</v>
      </c>
    </row>
    <row r="109">
      <c r="A109" s="3" t="s">
        <v>109</v>
      </c>
      <c r="B109" s="4" t="s">
        <v>110</v>
      </c>
      <c r="C109" s="4" t="s">
        <v>111</v>
      </c>
      <c r="D109" s="3" t="n">
        <v>2.0</v>
      </c>
      <c r="E109" s="4" t="s">
        <v>37</v>
      </c>
      <c r="F109" s="4" t="s">
        <v>38</v>
      </c>
      <c r="G109" s="4" t="s">
        <v>39</v>
      </c>
      <c r="H109" s="5" t="n">
        <f>2.0</f>
        <v>2.0</v>
      </c>
    </row>
    <row r="110">
      <c r="A110" s="3" t="s">
        <v>109</v>
      </c>
      <c r="B110" s="4" t="s">
        <v>110</v>
      </c>
      <c r="C110" s="4" t="s">
        <v>111</v>
      </c>
      <c r="D110" s="3" t="n">
        <v>2.0</v>
      </c>
      <c r="E110" s="4" t="s">
        <v>49</v>
      </c>
      <c r="F110" s="4" t="s">
        <v>50</v>
      </c>
      <c r="G110" s="4" t="s">
        <v>51</v>
      </c>
      <c r="H110" s="5" t="n">
        <f>2.0</f>
        <v>2.0</v>
      </c>
    </row>
    <row r="111">
      <c r="A111" s="3" t="s">
        <v>109</v>
      </c>
      <c r="B111" s="4" t="s">
        <v>110</v>
      </c>
      <c r="C111" s="4" t="s">
        <v>111</v>
      </c>
      <c r="D111" s="3" t="n">
        <v>5.0</v>
      </c>
      <c r="E111" s="4" t="s">
        <v>40</v>
      </c>
      <c r="F111" s="4" t="s">
        <v>41</v>
      </c>
      <c r="G111" s="4" t="s">
        <v>42</v>
      </c>
      <c r="H111" s="5" t="n">
        <f>1.0</f>
        <v>1.0</v>
      </c>
    </row>
    <row r="112">
      <c r="A112" s="3" t="s">
        <v>109</v>
      </c>
      <c r="B112" s="4" t="s">
        <v>112</v>
      </c>
      <c r="C112" s="4" t="s">
        <v>113</v>
      </c>
      <c r="D112" s="3" t="n">
        <v>1.0</v>
      </c>
      <c r="E112" s="4" t="s">
        <v>40</v>
      </c>
      <c r="F112" s="4" t="s">
        <v>41</v>
      </c>
      <c r="G112" s="4" t="s">
        <v>42</v>
      </c>
      <c r="H112" s="5" t="n">
        <f>1.0</f>
        <v>1.0</v>
      </c>
    </row>
    <row r="113">
      <c r="A113" s="3" t="s">
        <v>109</v>
      </c>
      <c r="B113" s="4" t="s">
        <v>112</v>
      </c>
      <c r="C113" s="4" t="s">
        <v>113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109</v>
      </c>
      <c r="B114" s="4" t="s">
        <v>114</v>
      </c>
      <c r="C114" s="4" t="s">
        <v>115</v>
      </c>
      <c r="D114" s="3" t="n">
        <v>1.0</v>
      </c>
      <c r="E114" s="4" t="s">
        <v>40</v>
      </c>
      <c r="F114" s="4" t="s">
        <v>41</v>
      </c>
      <c r="G114" s="4" t="s">
        <v>42</v>
      </c>
      <c r="H114" s="5" t="n">
        <f>1.0</f>
        <v>1.0</v>
      </c>
    </row>
    <row r="115">
      <c r="A115" s="3" t="s">
        <v>109</v>
      </c>
      <c r="B115" s="4" t="s">
        <v>114</v>
      </c>
      <c r="C115" s="4" t="s">
        <v>115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109</v>
      </c>
      <c r="B116" s="4" t="s">
        <v>116</v>
      </c>
      <c r="C116" s="4" t="s">
        <v>117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25.0</f>
        <v>25.0</v>
      </c>
    </row>
    <row r="117">
      <c r="A117" s="3" t="s">
        <v>109</v>
      </c>
      <c r="B117" s="4" t="s">
        <v>116</v>
      </c>
      <c r="C117" s="4" t="s">
        <v>117</v>
      </c>
      <c r="D117" s="3" t="n">
        <v>2.0</v>
      </c>
      <c r="E117" s="4" t="s">
        <v>37</v>
      </c>
      <c r="F117" s="4" t="s">
        <v>38</v>
      </c>
      <c r="G117" s="4" t="s">
        <v>39</v>
      </c>
      <c r="H117" s="5" t="n">
        <f>6.0</f>
        <v>6.0</v>
      </c>
    </row>
    <row r="118">
      <c r="A118" s="3" t="s">
        <v>109</v>
      </c>
      <c r="B118" s="4" t="s">
        <v>116</v>
      </c>
      <c r="C118" s="4" t="s">
        <v>117</v>
      </c>
      <c r="D118" s="3" t="n">
        <v>3.0</v>
      </c>
      <c r="E118" s="4" t="s">
        <v>40</v>
      </c>
      <c r="F118" s="4" t="s">
        <v>41</v>
      </c>
      <c r="G118" s="4" t="s">
        <v>42</v>
      </c>
      <c r="H118" s="5" t="n">
        <f>5.0</f>
        <v>5.0</v>
      </c>
    </row>
    <row r="119">
      <c r="A119" s="3" t="s">
        <v>109</v>
      </c>
      <c r="B119" s="4" t="s">
        <v>116</v>
      </c>
      <c r="C119" s="4" t="s">
        <v>117</v>
      </c>
      <c r="D119" s="3" t="n">
        <v>4.0</v>
      </c>
      <c r="E119" s="4" t="s">
        <v>58</v>
      </c>
      <c r="F119" s="4" t="s">
        <v>59</v>
      </c>
      <c r="G119" s="4" t="s">
        <v>60</v>
      </c>
      <c r="H119" s="5" t="n">
        <f>3.0</f>
        <v>3.0</v>
      </c>
    </row>
    <row r="120">
      <c r="A120" s="3" t="s">
        <v>109</v>
      </c>
      <c r="B120" s="4" t="s">
        <v>116</v>
      </c>
      <c r="C120" s="4" t="s">
        <v>117</v>
      </c>
      <c r="D120" s="3" t="n">
        <v>4.0</v>
      </c>
      <c r="E120" s="4" t="s">
        <v>49</v>
      </c>
      <c r="F120" s="4" t="s">
        <v>50</v>
      </c>
      <c r="G120" s="4" t="s">
        <v>51</v>
      </c>
      <c r="H120" s="5" t="n">
        <f>3.0</f>
        <v>3.0</v>
      </c>
    </row>
    <row r="121">
      <c r="A121" s="3" t="s">
        <v>109</v>
      </c>
      <c r="B121" s="4" t="s">
        <v>116</v>
      </c>
      <c r="C121" s="4" t="s">
        <v>117</v>
      </c>
      <c r="D121" s="3" t="n">
        <v>6.0</v>
      </c>
      <c r="E121" s="4" t="s">
        <v>61</v>
      </c>
      <c r="F121" s="4" t="s">
        <v>62</v>
      </c>
      <c r="G121" s="4" t="s">
        <v>63</v>
      </c>
      <c r="H121" s="5" t="n">
        <f>1.0</f>
        <v>1.0</v>
      </c>
    </row>
    <row r="122">
      <c r="A122" s="3" t="s">
        <v>109</v>
      </c>
      <c r="B122" s="4" t="s">
        <v>116</v>
      </c>
      <c r="C122" s="4" t="s">
        <v>117</v>
      </c>
      <c r="D122" s="3" t="n">
        <v>6.0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  <row r="123">
      <c r="A123" s="3" t="s">
        <v>109</v>
      </c>
      <c r="B123" s="4" t="s">
        <v>118</v>
      </c>
      <c r="C123" s="4" t="s">
        <v>119</v>
      </c>
      <c r="D123" s="3" t="n">
        <v>1.0</v>
      </c>
      <c r="E123" s="4" t="s">
        <v>16</v>
      </c>
      <c r="F123" s="4" t="s">
        <v>17</v>
      </c>
      <c r="G123" s="4" t="s">
        <v>18</v>
      </c>
      <c r="H123" s="5" t="n">
        <f>2.0</f>
        <v>2.0</v>
      </c>
    </row>
    <row r="124">
      <c r="A124" s="3" t="s">
        <v>109</v>
      </c>
      <c r="B124" s="4" t="s">
        <v>118</v>
      </c>
      <c r="C124" s="4" t="s">
        <v>119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2.0</f>
        <v>2.0</v>
      </c>
    </row>
    <row r="125">
      <c r="A125" s="3" t="s">
        <v>109</v>
      </c>
      <c r="B125" s="4" t="s">
        <v>120</v>
      </c>
      <c r="C125" s="4" t="s">
        <v>121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5.0</f>
        <v>5.0</v>
      </c>
    </row>
    <row r="126">
      <c r="A126" s="3" t="s">
        <v>109</v>
      </c>
      <c r="B126" s="4" t="s">
        <v>120</v>
      </c>
      <c r="C126" s="4" t="s">
        <v>121</v>
      </c>
      <c r="D126" s="3" t="n">
        <v>2.0</v>
      </c>
      <c r="E126" s="4" t="s">
        <v>37</v>
      </c>
      <c r="F126" s="4" t="s">
        <v>38</v>
      </c>
      <c r="G126" s="4" t="s">
        <v>39</v>
      </c>
      <c r="H126" s="5" t="n">
        <f>2.0</f>
        <v>2.0</v>
      </c>
    </row>
    <row r="127">
      <c r="A127" s="3" t="s">
        <v>109</v>
      </c>
      <c r="B127" s="4" t="s">
        <v>120</v>
      </c>
      <c r="C127" s="4" t="s">
        <v>121</v>
      </c>
      <c r="D127" s="3" t="n">
        <v>2.0</v>
      </c>
      <c r="E127" s="4" t="s">
        <v>40</v>
      </c>
      <c r="F127" s="4" t="s">
        <v>41</v>
      </c>
      <c r="G127" s="4" t="s">
        <v>42</v>
      </c>
      <c r="H127" s="5" t="n">
        <f>2.0</f>
        <v>2.0</v>
      </c>
    </row>
    <row r="128">
      <c r="A128" s="3" t="s">
        <v>109</v>
      </c>
      <c r="B128" s="4" t="s">
        <v>120</v>
      </c>
      <c r="C128" s="4" t="s">
        <v>121</v>
      </c>
      <c r="D128" s="3" t="n">
        <v>4.0</v>
      </c>
      <c r="E128" s="4" t="s">
        <v>49</v>
      </c>
      <c r="F128" s="4" t="s">
        <v>50</v>
      </c>
      <c r="G128" s="4" t="s">
        <v>51</v>
      </c>
      <c r="H128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