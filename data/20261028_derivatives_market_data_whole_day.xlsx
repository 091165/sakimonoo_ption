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<sst xmlns="http://schemas.openxmlformats.org/spreadsheetml/2006/main" count="528" uniqueCount="129">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</sst>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DATE(2026,10,28)</f>
        <v>46323.0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DATE(2026,10,28)</f>
        <v>46323.0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810882.0</f>
        <v>810882.0</v>
      </c>
      <c r="E12" s="18" t="n">
        <f>31549.0</f>
        <v>31549.0</v>
      </c>
      <c r="F12" s="19" t="n">
        <f>1.0</f>
        <v>1.0</v>
      </c>
      <c r="G12" s="17" t="n">
        <f>4511978501473.0</f>
        <v>4.511978501473E12</v>
      </c>
      <c r="H12" s="18" t="n">
        <f>329567796398.0</f>
        <v>3.29567796398E11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454286.0</f>
        <v>454286.0</v>
      </c>
      <c r="E13" s="22" t="n">
        <f>18240.0</f>
        <v>18240.0</v>
      </c>
      <c r="F13" s="23" t="n">
        <f>1.0</f>
        <v>1.0</v>
      </c>
      <c r="G13" s="21" t="n">
        <f>4975695917975.0</f>
        <v>4.975695917975E12</v>
      </c>
      <c r="H13" s="22" t="n">
        <f>339718108850.0</f>
        <v>3.3971810885E11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490097.0</f>
        <v>490097.0</v>
      </c>
      <c r="E14" s="22" t="n">
        <f>40999.0</f>
        <v>40999.0</v>
      </c>
      <c r="F14" s="23" t="n">
        <f>1.0</f>
        <v>1.0</v>
      </c>
      <c r="G14" s="21" t="n">
        <f>5946845239220.0</f>
        <v>5.94684523922E12</v>
      </c>
      <c r="H14" s="22" t="n">
        <f>959938428970.0</f>
        <v>9.5993842897E11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1755265.0</f>
        <v>1755265.0</v>
      </c>
      <c r="E15" s="26" t="n">
        <f>90788.0</f>
        <v>90788.0</v>
      </c>
      <c r="F15" s="27" t="n">
        <f>1.0</f>
        <v>1.0</v>
      </c>
      <c r="G15" s="25" t="n">
        <f>15434519658668.0</f>
        <v>1.5434519658668E13</v>
      </c>
      <c r="H15" s="26" t="n">
        <f>1629224334218.0</f>
        <v>1.629224334218E12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9946.0</f>
        <v>9946.0</v>
      </c>
      <c r="E16" s="18" t="n">
        <f>50.0</f>
        <v>50.0</v>
      </c>
      <c r="F16" s="19" t="n">
        <f>0.012</f>
        <v>0.012</v>
      </c>
      <c r="G16" s="17" t="n">
        <f>1195668196875.0</f>
        <v>1.195668196875E12</v>
      </c>
      <c r="H16" s="18" t="n">
        <f>6322500000.0</f>
        <v>6.3225E9</v>
      </c>
      <c r="I16" s="19" t="n">
        <f>0.265</f>
        <v>0.265</v>
      </c>
    </row>
    <row r="17" spans="1:9" ht="24.9" customHeight="1">
      <c r="A17" s="41"/>
      <c r="B17" s="39"/>
      <c r="C17" s="20" t="s">
        <v>16</v>
      </c>
      <c r="D17" s="21" t="n">
        <f>20487.0</f>
        <v>20487.0</v>
      </c>
      <c r="E17" s="22" t="n">
        <f>554.0</f>
        <v>554.0</v>
      </c>
      <c r="F17" s="23" t="n">
        <f>0.045</f>
        <v>0.045</v>
      </c>
      <c r="G17" s="21" t="n">
        <f>2031499783875.0</f>
        <v>2.031499783875E12</v>
      </c>
      <c r="H17" s="22" t="n">
        <f>70050450000.0</f>
        <v>7.005045E10</v>
      </c>
      <c r="I17" s="23" t="n">
        <f>0.408</f>
        <v>0.408</v>
      </c>
    </row>
    <row r="18" spans="1:9" ht="24.9" customHeight="1">
      <c r="A18" s="41"/>
      <c r="B18" s="39"/>
      <c r="C18" s="20" t="s">
        <v>17</v>
      </c>
      <c r="D18" s="21" t="n">
        <f>17188.0</f>
        <v>17188.0</v>
      </c>
      <c r="E18" s="22" t="n">
        <f>1938.0</f>
        <v>1938.0</v>
      </c>
      <c r="F18" s="23" t="n">
        <f>0.035</f>
        <v>0.035</v>
      </c>
      <c r="G18" s="21" t="n">
        <f>1748816798500.0</f>
        <v>1.7488167985E12</v>
      </c>
      <c r="H18" s="22" t="n">
        <f>230365190000.0</f>
        <v>2.3036519E11</v>
      </c>
      <c r="I18" s="23" t="n">
        <f>0.294</f>
        <v>0.294</v>
      </c>
    </row>
    <row r="19" spans="1:9" ht="24.9" customHeight="1">
      <c r="A19" s="41"/>
      <c r="B19" s="39"/>
      <c r="C19" s="24" t="s">
        <v>18</v>
      </c>
      <c r="D19" s="25" t="n">
        <f>47621.0</f>
        <v>47621.0</v>
      </c>
      <c r="E19" s="26" t="n">
        <f>2542.0</f>
        <v>2542.0</v>
      </c>
      <c r="F19" s="27" t="n">
        <f>0.027</f>
        <v>0.027</v>
      </c>
      <c r="G19" s="25" t="n">
        <f>4975984779250.0</f>
        <v>4.97598477925E12</v>
      </c>
      <c r="H19" s="26" t="n">
        <f>306738140000.0</f>
        <v>3.0673814E11</v>
      </c>
      <c r="I19" s="27" t="n">
        <f>0.322</f>
        <v>0.322</v>
      </c>
    </row>
    <row r="20" spans="1:9" ht="24.9" customHeight="1">
      <c r="A20" s="41"/>
      <c r="B20" s="39" t="s">
        <v>21</v>
      </c>
      <c r="C20" s="16" t="s">
        <v>15</v>
      </c>
      <c r="D20" s="17" t="n">
        <f>785921.0</f>
        <v>785921.0</v>
      </c>
      <c r="E20" s="18" t="n">
        <f>31399.0</f>
        <v>31399.0</v>
      </c>
      <c r="F20" s="19" t="n">
        <f>0.969</f>
        <v>0.969</v>
      </c>
      <c r="G20" s="17" t="n">
        <f>3207245648098.0</f>
        <v>3.207245648098E12</v>
      </c>
      <c r="H20" s="18" t="n">
        <f>323036604398.0</f>
        <v>3.23036604398E11</v>
      </c>
      <c r="I20" s="19" t="n">
        <f>0.711</f>
        <v>0.711</v>
      </c>
    </row>
    <row r="21" spans="1:9" ht="24.9" customHeight="1">
      <c r="A21" s="41"/>
      <c r="B21" s="39"/>
      <c r="C21" s="20" t="s">
        <v>16</v>
      </c>
      <c r="D21" s="21" t="n">
        <f>426486.0</f>
        <v>426486.0</v>
      </c>
      <c r="E21" s="22" t="n">
        <f>17686.0</f>
        <v>17686.0</v>
      </c>
      <c r="F21" s="23" t="n">
        <f>0.939</f>
        <v>0.939</v>
      </c>
      <c r="G21" s="21" t="n">
        <f>2863799096300.0</f>
        <v>2.8637990963E12</v>
      </c>
      <c r="H21" s="22" t="n">
        <f>269667658850.0</f>
        <v>2.6966765885E11</v>
      </c>
      <c r="I21" s="23" t="n">
        <f>0.576</f>
        <v>0.576</v>
      </c>
    </row>
    <row r="22" spans="1:9" ht="24.9" customHeight="1">
      <c r="A22" s="41"/>
      <c r="B22" s="39"/>
      <c r="C22" s="20" t="s">
        <v>17</v>
      </c>
      <c r="D22" s="21" t="n">
        <f>461474.0</f>
        <v>461474.0</v>
      </c>
      <c r="E22" s="22" t="n">
        <f>35171.0</f>
        <v>35171.0</v>
      </c>
      <c r="F22" s="23" t="n">
        <f>0.942</f>
        <v>0.942</v>
      </c>
      <c r="G22" s="21" t="n">
        <f>4136303240920.0</f>
        <v>4.13630324092E12</v>
      </c>
      <c r="H22" s="22" t="n">
        <f>721499432570.0</f>
        <v>7.2149943257E11</v>
      </c>
      <c r="I22" s="23" t="n">
        <f>0.696</f>
        <v>0.696</v>
      </c>
    </row>
    <row r="23" spans="1:9" ht="24.9" customHeight="1">
      <c r="A23" s="41"/>
      <c r="B23" s="39"/>
      <c r="C23" s="24" t="s">
        <v>18</v>
      </c>
      <c r="D23" s="25" t="n">
        <f>1673881.0</f>
        <v>1673881.0</v>
      </c>
      <c r="E23" s="26" t="n">
        <f>84256.0</f>
        <v>84256.0</v>
      </c>
      <c r="F23" s="27" t="n">
        <f>0.954</f>
        <v>0.954</v>
      </c>
      <c r="G23" s="25" t="n">
        <f>10207347985318.0</f>
        <v>1.0207347985318E13</v>
      </c>
      <c r="H23" s="26" t="n">
        <f>1314203695818.0</f>
        <v>1.314203695818E12</v>
      </c>
      <c r="I23" s="27" t="n">
        <f>0.661</f>
        <v>0.661</v>
      </c>
    </row>
    <row r="24" spans="1:9" ht="24.9" customHeight="1">
      <c r="A24" s="41"/>
      <c r="B24" s="39" t="s">
        <v>22</v>
      </c>
      <c r="C24" s="16" t="s">
        <v>15</v>
      </c>
      <c r="D24" s="17" t="n">
        <f>14470.0</f>
        <v>14470.0</v>
      </c>
      <c r="E24" s="18" t="n">
        <f>0.0</f>
        <v>0.0</v>
      </c>
      <c r="F24" s="19" t="n">
        <f>0.018</f>
        <v>0.018</v>
      </c>
      <c r="G24" s="17" t="n">
        <f>106603688500.0</f>
        <v>1.066036885E11</v>
      </c>
      <c r="H24" s="18" t="n">
        <f>0.0</f>
        <v>0.0</v>
      </c>
      <c r="I24" s="19" t="n">
        <f>0.024</f>
        <v>0.024</v>
      </c>
    </row>
    <row r="25" spans="1:9" ht="24.9" customHeight="1">
      <c r="A25" s="41"/>
      <c r="B25" s="39"/>
      <c r="C25" s="20" t="s">
        <v>16</v>
      </c>
      <c r="D25" s="21" t="n">
        <f>7066.0</f>
        <v>7066.0</v>
      </c>
      <c r="E25" s="22" t="n">
        <f>0.0</f>
        <v>0.0</v>
      </c>
      <c r="F25" s="23" t="n">
        <f>0.016</f>
        <v>0.016</v>
      </c>
      <c r="G25" s="21" t="n">
        <f>79177702300.0</f>
        <v>7.91777023E10</v>
      </c>
      <c r="H25" s="22" t="n">
        <f>0.0</f>
        <v>0.0</v>
      </c>
      <c r="I25" s="23" t="n">
        <f>0.016</f>
        <v>0.016</v>
      </c>
    </row>
    <row r="26" spans="1:9" ht="24.9" customHeight="1">
      <c r="A26" s="41"/>
      <c r="B26" s="39"/>
      <c r="C26" s="20" t="s">
        <v>17</v>
      </c>
      <c r="D26" s="21" t="n">
        <f>5856.0</f>
        <v>5856.0</v>
      </c>
      <c r="E26" s="22" t="n">
        <f>0.0</f>
        <v>0.0</v>
      </c>
      <c r="F26" s="23" t="n">
        <f>0.012</f>
        <v>0.012</v>
      </c>
      <c r="G26" s="21" t="n">
        <f>45222566900.0</f>
        <v>4.52225669E10</v>
      </c>
      <c r="H26" s="22" t="n">
        <f>0.0</f>
        <v>0.0</v>
      </c>
      <c r="I26" s="23" t="n">
        <f>0.008</f>
        <v>0.008</v>
      </c>
    </row>
    <row r="27" spans="1:9" ht="24.9" customHeight="1">
      <c r="A27" s="42"/>
      <c r="B27" s="39"/>
      <c r="C27" s="24" t="s">
        <v>18</v>
      </c>
      <c r="D27" s="25" t="n">
        <f>27392.0</f>
        <v>27392.0</v>
      </c>
      <c r="E27" s="26" t="n">
        <f>0.0</f>
        <v>0.0</v>
      </c>
      <c r="F27" s="27" t="n">
        <f>0.016</f>
        <v>0.016</v>
      </c>
      <c r="G27" s="25" t="n">
        <f>231003957700.0</f>
        <v>2.310039577E11</v>
      </c>
      <c r="H27" s="26" t="n">
        <f>0.0</f>
        <v>0.0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545.0</f>
        <v>545.0</v>
      </c>
      <c r="E28" s="18" t="n">
        <f>100.0</f>
        <v>100.0</v>
      </c>
      <c r="F28" s="19" t="n">
        <f>0.001</f>
        <v>0.001</v>
      </c>
      <c r="G28" s="17" t="n">
        <f>2460968000.0</f>
        <v>2.460968E9</v>
      </c>
      <c r="H28" s="18" t="n">
        <f>208692000.0</f>
        <v>2.08692E8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247.0</f>
        <v>247.0</v>
      </c>
      <c r="E29" s="22" t="n">
        <f>0.0</f>
        <v>0.0</v>
      </c>
      <c r="F29" s="23" t="n">
        <f>0.001</f>
        <v>0.001</v>
      </c>
      <c r="G29" s="21" t="n">
        <f>1219335500.0</f>
        <v>1.2193355E9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5579.0</f>
        <v>5579.0</v>
      </c>
      <c r="E30" s="22" t="n">
        <f>3890.0</f>
        <v>3890.0</v>
      </c>
      <c r="F30" s="23" t="n">
        <f>0.011</f>
        <v>0.011</v>
      </c>
      <c r="G30" s="21" t="n">
        <f>16502632900.0</f>
        <v>1.65026329E10</v>
      </c>
      <c r="H30" s="22" t="n">
        <f>8073806400.0</f>
        <v>8.0738064E9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6371.0</f>
        <v>6371.0</v>
      </c>
      <c r="E31" s="26" t="n">
        <f>3990.0</f>
        <v>3990.0</v>
      </c>
      <c r="F31" s="27" t="n">
        <f>0.004</f>
        <v>0.004</v>
      </c>
      <c r="G31" s="25" t="n">
        <f>20182936400.0</f>
        <v>2.01829364E10</v>
      </c>
      <c r="H31" s="26" t="n">
        <f>8282498400.0</f>
        <v>8.2824984E9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46323.0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46323.0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25547</f>
        <v>25547.0</v>
      </c>
      <c r="E11" s="18" t="n">
        <f>5851</f>
        <v>5851.0</v>
      </c>
      <c r="F11" s="19" t="n">
        <f>1</f>
        <v>1.0</v>
      </c>
      <c r="G11" s="17" t="n">
        <f>6134684200</f>
        <v>6.1346842E9</v>
      </c>
      <c r="H11" s="18" t="n">
        <f>4762517200</f>
        <v>4.7625172E9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61776</f>
        <v>61776.0</v>
      </c>
      <c r="E12" s="22" t="n">
        <f>5175</f>
        <v>5175.0</v>
      </c>
      <c r="F12" s="23" t="n">
        <f>1</f>
        <v>1.0</v>
      </c>
      <c r="G12" s="21" t="n">
        <f>7599346633</f>
        <v>7.599346633E9</v>
      </c>
      <c r="H12" s="22" t="n">
        <f>6166209440</f>
        <v>6.16620944E9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37668</f>
        <v>37668.0</v>
      </c>
      <c r="E13" s="22" t="n">
        <f>16580</f>
        <v>16580.0</v>
      </c>
      <c r="F13" s="23" t="n">
        <f>1</f>
        <v>1.0</v>
      </c>
      <c r="G13" s="21" t="n">
        <f>27086777302</f>
        <v>2.7086777302E10</v>
      </c>
      <c r="H13" s="22" t="n">
        <f>24691712220</f>
        <v>2.469171222E10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124991</f>
        <v>124991.0</v>
      </c>
      <c r="E14" s="26" t="n">
        <f>27606</f>
        <v>27606.0</v>
      </c>
      <c r="F14" s="27" t="n">
        <f>1</f>
        <v>1.0</v>
      </c>
      <c r="G14" s="25" t="n">
        <f>40820808135</f>
        <v>4.0820808135E10</v>
      </c>
      <c r="H14" s="26" t="n">
        <f>35620438860</f>
        <v>3.562043886E10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55</f>
        <v>55.0</v>
      </c>
      <c r="E15" s="18" t="n">
        <f>0</f>
        <v>0.0</v>
      </c>
      <c r="F15" s="19" t="n">
        <f>0.002</f>
        <v>0.002</v>
      </c>
      <c r="G15" s="17" t="n">
        <f>1800000</f>
        <v>1800000.0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55</f>
        <v>55.0</v>
      </c>
      <c r="E16" s="22" t="n">
        <f>25</f>
        <v>25.0</v>
      </c>
      <c r="F16" s="23" t="n">
        <f>0.001</f>
        <v>0.001</v>
      </c>
      <c r="G16" s="21" t="n">
        <f>11675000</f>
        <v>1.1675E7</v>
      </c>
      <c r="H16" s="22" t="n">
        <f>2425000</f>
        <v>2425000.0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218</f>
        <v>218.0</v>
      </c>
      <c r="E17" s="22" t="n">
        <f>113</f>
        <v>113.0</v>
      </c>
      <c r="F17" s="23" t="n">
        <f>0.006</f>
        <v>0.006</v>
      </c>
      <c r="G17" s="21" t="n">
        <f>36050000</f>
        <v>3.605E7</v>
      </c>
      <c r="H17" s="22" t="n">
        <f>20130000</f>
        <v>2.013E7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328</f>
        <v>328.0</v>
      </c>
      <c r="E18" s="26" t="n">
        <f>138</f>
        <v>138.0</v>
      </c>
      <c r="F18" s="27" t="n">
        <f>0.003</f>
        <v>0.003</v>
      </c>
      <c r="G18" s="25" t="n">
        <f>49525000</f>
        <v>4.9525E7</v>
      </c>
      <c r="H18" s="26" t="n">
        <f>22555000</f>
        <v>2.2555E7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25492</f>
        <v>25492.0</v>
      </c>
      <c r="E19" s="18" t="n">
        <f>5851</f>
        <v>5851.0</v>
      </c>
      <c r="F19" s="19" t="n">
        <f>0.998</f>
        <v>0.998</v>
      </c>
      <c r="G19" s="17" t="n">
        <f>6132884200</f>
        <v>6.1328842E9</v>
      </c>
      <c r="H19" s="18" t="n">
        <f>4762517200</f>
        <v>4.7625172E9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20993</f>
        <v>20993.0</v>
      </c>
      <c r="E20" s="22" t="n">
        <f>5150</f>
        <v>5150.0</v>
      </c>
      <c r="F20" s="23" t="n">
        <f>0.34</f>
        <v>0.34</v>
      </c>
      <c r="G20" s="21" t="n">
        <f>7562779440</f>
        <v>7.56277944E9</v>
      </c>
      <c r="H20" s="22" t="n">
        <f>6163784440</f>
        <v>6.16378444E9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32865</f>
        <v>32865.0</v>
      </c>
      <c r="E21" s="22" t="n">
        <f>15767</f>
        <v>15767.0</v>
      </c>
      <c r="F21" s="23" t="n">
        <f>0.872</f>
        <v>0.872</v>
      </c>
      <c r="G21" s="21" t="n">
        <f>26992478720</f>
        <v>2.699247872E10</v>
      </c>
      <c r="H21" s="22" t="n">
        <f>24627482220</f>
        <v>2.462748222E10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79350</f>
        <v>79350.0</v>
      </c>
      <c r="E22" s="26" t="n">
        <f>26768</f>
        <v>26768.0</v>
      </c>
      <c r="F22" s="27" t="n">
        <f>0.635</f>
        <v>0.635</v>
      </c>
      <c r="G22" s="25" t="n">
        <f>40688142360</f>
        <v>4.068814236E10</v>
      </c>
      <c r="H22" s="26" t="n">
        <f>35553783860</f>
        <v>3.555378386E10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40728</f>
        <v>40728.0</v>
      </c>
      <c r="E24" s="22" t="n">
        <f>0</f>
        <v>0.0</v>
      </c>
      <c r="F24" s="23" t="n">
        <f>0.659</f>
        <v>0.659</v>
      </c>
      <c r="G24" s="21" t="n">
        <f>24892193</f>
        <v>2.4892193E7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4585</f>
        <v>4585.0</v>
      </c>
      <c r="E25" s="22" t="n">
        <f>700</f>
        <v>700.0</v>
      </c>
      <c r="F25" s="23" t="n">
        <f>0.122</f>
        <v>0.122</v>
      </c>
      <c r="G25" s="21" t="n">
        <f>58248582</f>
        <v>5.8248582E7</v>
      </c>
      <c r="H25" s="22" t="n">
        <f>44100000</f>
        <v>4.41E7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45313</f>
        <v>45313.0</v>
      </c>
      <c r="E26" s="26" t="n">
        <f>700</f>
        <v>700.0</v>
      </c>
      <c r="F26" s="27" t="n">
        <f>0.363</f>
        <v>0.363</v>
      </c>
      <c r="G26" s="25" t="n">
        <f>83140775</f>
        <v>8.3140775E7</v>
      </c>
      <c r="H26" s="26" t="n">
        <f>44100000</f>
        <v>4.41E7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46323.0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46323.0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10584.0</v>
      </c>
      <c r="F12" s="18" t="n">
        <f>2100</f>
        <v>2100.0</v>
      </c>
      <c r="G12" s="17" t="n">
        <v>6.7592130588E11</v>
      </c>
      <c r="H12" s="18" t="n">
        <f>133508420880</f>
        <v>1.3350842088E11</v>
      </c>
    </row>
    <row r="13" spans="1:8" ht="24.9" customHeight="1">
      <c r="A13" s="51"/>
      <c r="B13" s="57"/>
      <c r="C13" s="39"/>
      <c r="D13" s="20" t="s">
        <v>16</v>
      </c>
      <c r="E13" s="21" t="n">
        <v>13348.0</v>
      </c>
      <c r="F13" s="22" t="n">
        <f>2111</f>
        <v>2111.0</v>
      </c>
      <c r="G13" s="21" t="n">
        <v>8.563358983E11</v>
      </c>
      <c r="H13" s="22" t="n">
        <f>134265608300</f>
        <v>1.342656083E11</v>
      </c>
    </row>
    <row r="14" spans="1:8" ht="24.9" customHeight="1">
      <c r="A14" s="51"/>
      <c r="B14" s="57"/>
      <c r="C14" s="39"/>
      <c r="D14" s="20" t="s">
        <v>17</v>
      </c>
      <c r="E14" s="21" t="n">
        <v>22132.0</v>
      </c>
      <c r="F14" s="22" t="n">
        <f>5866</f>
        <v>5866.0</v>
      </c>
      <c r="G14" s="21" t="n">
        <v>1.42166080912E12</v>
      </c>
      <c r="H14" s="22" t="n">
        <f>376849609120</f>
        <v>3.7684960912E11</v>
      </c>
    </row>
    <row r="15" spans="1:8" ht="24.9" customHeight="1">
      <c r="A15" s="51"/>
      <c r="B15" s="57"/>
      <c r="C15" s="39"/>
      <c r="D15" s="24" t="s">
        <v>18</v>
      </c>
      <c r="E15" s="25" t="n">
        <v>46064.0</v>
      </c>
      <c r="F15" s="26" t="n">
        <f>10077</f>
        <v>10077.0</v>
      </c>
      <c r="G15" s="25" t="n">
        <v>2.9539180133E12</v>
      </c>
      <c r="H15" s="26" t="n">
        <f>644623638300</f>
        <v>6.446236383E11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273724.0</v>
      </c>
      <c r="F16" s="18" t="n">
        <f>28878</f>
        <v>28878.0</v>
      </c>
      <c r="G16" s="17" t="n">
        <v>1.750169393478E12</v>
      </c>
      <c r="H16" s="18" t="n">
        <f>184583644478</f>
        <v>1.84583644478E11</v>
      </c>
    </row>
    <row r="17" spans="1:8" ht="24.9" customHeight="1">
      <c r="A17" s="51"/>
      <c r="B17" s="57"/>
      <c r="C17" s="39"/>
      <c r="D17" s="20" t="s">
        <v>16</v>
      </c>
      <c r="E17" s="21" t="n">
        <v>186013.0</v>
      </c>
      <c r="F17" s="22" t="n">
        <f>14155</f>
        <v>14155.0</v>
      </c>
      <c r="G17" s="21" t="n">
        <v>1.19499762121E12</v>
      </c>
      <c r="H17" s="22" t="n">
        <f>90946068210</f>
        <v>9.094606821E10</v>
      </c>
    </row>
    <row r="18" spans="1:8" ht="24.9" customHeight="1">
      <c r="A18" s="51"/>
      <c r="B18" s="57"/>
      <c r="C18" s="39"/>
      <c r="D18" s="20" t="s">
        <v>17</v>
      </c>
      <c r="E18" s="21" t="n">
        <v>201891.0</v>
      </c>
      <c r="F18" s="22" t="n">
        <f>22643</f>
        <v>22643.0</v>
      </c>
      <c r="G18" s="21" t="n">
        <v>1.29651359195E12</v>
      </c>
      <c r="H18" s="22" t="n">
        <f>145393895950</f>
        <v>1.4539389595E11</v>
      </c>
    </row>
    <row r="19" spans="1:8" ht="24.9" customHeight="1">
      <c r="A19" s="51"/>
      <c r="B19" s="57"/>
      <c r="C19" s="39"/>
      <c r="D19" s="24" t="s">
        <v>18</v>
      </c>
      <c r="E19" s="25" t="n">
        <v>661628.0</v>
      </c>
      <c r="F19" s="26" t="n">
        <f>65676</f>
        <v>65676.0</v>
      </c>
      <c r="G19" s="25" t="n">
        <v>4.241680606638E12</v>
      </c>
      <c r="H19" s="26" t="n">
        <f>420923608638</f>
        <v>4.20923608638E11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483350.0</v>
      </c>
      <c r="F20" s="18" t="str">
        <f>"－"</f>
        <v>－</v>
      </c>
      <c r="G20" s="17" t="n">
        <v>3.089814729E11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199731.0</v>
      </c>
      <c r="F21" s="22" t="str">
        <f>"－"</f>
        <v>－</v>
      </c>
      <c r="G21" s="21" t="n">
        <v>1.283617738E11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193314.0</v>
      </c>
      <c r="F22" s="22" t="str">
        <f>"－"</f>
        <v>－</v>
      </c>
      <c r="G22" s="21" t="n">
        <v>1.241313001E11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876395.0</v>
      </c>
      <c r="F23" s="26" t="str">
        <f>"－"</f>
        <v>－</v>
      </c>
      <c r="G23" s="25" t="n">
        <v>5.614745468E11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11069.0</v>
      </c>
      <c r="F24" s="18" t="n">
        <f>91</f>
        <v>91.0</v>
      </c>
      <c r="G24" s="17" t="n">
        <v>4.458014825E11</v>
      </c>
      <c r="H24" s="18" t="n">
        <f>3652132500</f>
        <v>3.6521325E9</v>
      </c>
    </row>
    <row r="25" spans="1:8" ht="24.9" customHeight="1">
      <c r="A25" s="51"/>
      <c r="B25" s="57"/>
      <c r="C25" s="39"/>
      <c r="D25" s="20" t="s">
        <v>16</v>
      </c>
      <c r="E25" s="21" t="n">
        <v>16064.0</v>
      </c>
      <c r="F25" s="22" t="n">
        <f>1076</f>
        <v>1076.0</v>
      </c>
      <c r="G25" s="21" t="n">
        <v>6.465602635E11</v>
      </c>
      <c r="H25" s="22" t="n">
        <f>43239053500</f>
        <v>4.32390535E10</v>
      </c>
    </row>
    <row r="26" spans="1:8" ht="24.9" customHeight="1">
      <c r="A26" s="51"/>
      <c r="B26" s="57"/>
      <c r="C26" s="39"/>
      <c r="D26" s="20" t="s">
        <v>17</v>
      </c>
      <c r="E26" s="21" t="n">
        <v>31332.0</v>
      </c>
      <c r="F26" s="22" t="n">
        <f>4881</f>
        <v>4881.0</v>
      </c>
      <c r="G26" s="21" t="n">
        <v>1.2549863854E12</v>
      </c>
      <c r="H26" s="22" t="n">
        <f>195394290400</f>
        <v>1.953942904E11</v>
      </c>
    </row>
    <row r="27" spans="1:8" ht="24.9" customHeight="1">
      <c r="A27" s="51"/>
      <c r="B27" s="57"/>
      <c r="C27" s="39"/>
      <c r="D27" s="24" t="s">
        <v>18</v>
      </c>
      <c r="E27" s="25" t="n">
        <v>58465.0</v>
      </c>
      <c r="F27" s="26" t="n">
        <f>6048</f>
        <v>6048.0</v>
      </c>
      <c r="G27" s="25" t="n">
        <v>2.3473481314E12</v>
      </c>
      <c r="H27" s="26" t="n">
        <f>242285476400</f>
        <v>2.422854764E11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5300.0</v>
      </c>
      <c r="F28" s="18" t="n">
        <f>316</f>
        <v>316.0</v>
      </c>
      <c r="G28" s="17" t="n">
        <v>2.132840655E10</v>
      </c>
      <c r="H28" s="18" t="n">
        <f>1269629550</f>
        <v>1.26962955E9</v>
      </c>
    </row>
    <row r="29" spans="1:8" ht="24.9" customHeight="1">
      <c r="A29" s="51"/>
      <c r="B29" s="57"/>
      <c r="C29" s="39"/>
      <c r="D29" s="20" t="s">
        <v>16</v>
      </c>
      <c r="E29" s="21" t="n">
        <v>7234.0</v>
      </c>
      <c r="F29" s="22" t="n">
        <f>287</f>
        <v>287.0</v>
      </c>
      <c r="G29" s="21" t="n">
        <v>2.91347325E10</v>
      </c>
      <c r="H29" s="22" t="n">
        <f>1155738250</f>
        <v>1.15573825E9</v>
      </c>
    </row>
    <row r="30" spans="1:8" ht="24.9" customHeight="1">
      <c r="A30" s="51"/>
      <c r="B30" s="57"/>
      <c r="C30" s="39"/>
      <c r="D30" s="20" t="s">
        <v>17</v>
      </c>
      <c r="E30" s="21" t="n">
        <v>7493.0</v>
      </c>
      <c r="F30" s="22" t="n">
        <f>391</f>
        <v>391.0</v>
      </c>
      <c r="G30" s="21" t="n">
        <v>3.001590152E10</v>
      </c>
      <c r="H30" s="22" t="n">
        <f>1566224270</f>
        <v>1.56622427E9</v>
      </c>
    </row>
    <row r="31" spans="1:8" ht="24.9" customHeight="1">
      <c r="A31" s="51"/>
      <c r="B31" s="57"/>
      <c r="C31" s="39"/>
      <c r="D31" s="24" t="s">
        <v>18</v>
      </c>
      <c r="E31" s="25" t="n">
        <v>20027.0</v>
      </c>
      <c r="F31" s="26" t="n">
        <f>994</f>
        <v>994.0</v>
      </c>
      <c r="G31" s="25" t="n">
        <v>8.047904057E10</v>
      </c>
      <c r="H31" s="26" t="n">
        <f>3991592070</f>
        <v>3.99159207E9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1037.0</v>
      </c>
      <c r="F36" s="18" t="n">
        <f>1</f>
        <v>1.0</v>
      </c>
      <c r="G36" s="17" t="n">
        <v>3.7915475E9</v>
      </c>
      <c r="H36" s="18" t="n">
        <f>3652000</f>
        <v>3652000.0</v>
      </c>
    </row>
    <row r="37" spans="1:8" ht="24.9" customHeight="1">
      <c r="A37" s="51"/>
      <c r="B37" s="57"/>
      <c r="C37" s="39"/>
      <c r="D37" s="20" t="s">
        <v>16</v>
      </c>
      <c r="E37" s="21" t="n">
        <v>1659.0</v>
      </c>
      <c r="F37" s="22" t="n">
        <f>4</f>
        <v>4.0</v>
      </c>
      <c r="G37" s="21" t="n">
        <v>6.05834549E9</v>
      </c>
      <c r="H37" s="22" t="n">
        <f>14602490</f>
        <v>1.460249E7</v>
      </c>
    </row>
    <row r="38" spans="1:8" ht="24.9" customHeight="1">
      <c r="A38" s="51"/>
      <c r="B38" s="57"/>
      <c r="C38" s="39"/>
      <c r="D38" s="20" t="s">
        <v>17</v>
      </c>
      <c r="E38" s="21" t="n">
        <v>990.0</v>
      </c>
      <c r="F38" s="22" t="n">
        <f>3</f>
        <v>3.0</v>
      </c>
      <c r="G38" s="21" t="n">
        <v>3.59339001E9</v>
      </c>
      <c r="H38" s="22" t="n">
        <f>10893510</f>
        <v>1.089351E7</v>
      </c>
    </row>
    <row r="39" spans="1:8" ht="24.9" customHeight="1">
      <c r="A39" s="51"/>
      <c r="B39" s="57"/>
      <c r="C39" s="39"/>
      <c r="D39" s="24" t="s">
        <v>18</v>
      </c>
      <c r="E39" s="25" t="n">
        <v>3686.0</v>
      </c>
      <c r="F39" s="26" t="n">
        <f>8</f>
        <v>8.0</v>
      </c>
      <c r="G39" s="25" t="n">
        <v>1.3443283E10</v>
      </c>
      <c r="H39" s="26" t="n">
        <f>29148000</f>
        <v>2.9148E7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75.0</v>
      </c>
      <c r="F49" s="22" t="n">
        <f>0</f>
        <v>0.0</v>
      </c>
      <c r="G49" s="21" t="n">
        <v>1.253665E8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1640.0</v>
      </c>
      <c r="F50" s="22" t="n">
        <f>1361</f>
        <v>1361.0</v>
      </c>
      <c r="G50" s="21" t="n">
        <v>2.72233963E9</v>
      </c>
      <c r="H50" s="22" t="n">
        <f>2259532130</f>
        <v>2.25953213E9</v>
      </c>
    </row>
    <row r="51" spans="1:8" ht="24.9" customHeight="1">
      <c r="A51" s="51"/>
      <c r="B51" s="57"/>
      <c r="C51" s="39"/>
      <c r="D51" s="24" t="s">
        <v>18</v>
      </c>
      <c r="E51" s="25" t="n">
        <v>1715.0</v>
      </c>
      <c r="F51" s="26" t="n">
        <f>1361</f>
        <v>1361.0</v>
      </c>
      <c r="G51" s="25" t="n">
        <v>2.84770613E9</v>
      </c>
      <c r="H51" s="26" t="n">
        <f>2259532130</f>
        <v>2.25953213E9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637.0</v>
      </c>
      <c r="F56" s="18" t="n">
        <f>11</f>
        <v>11.0</v>
      </c>
      <c r="G56" s="17" t="n">
        <v>4.983239E8</v>
      </c>
      <c r="H56" s="18" t="n">
        <f>8608900</f>
        <v>8608900.0</v>
      </c>
    </row>
    <row r="57" spans="1:8" ht="24.9" customHeight="1">
      <c r="A57" s="51"/>
      <c r="B57" s="57"/>
      <c r="C57" s="39"/>
      <c r="D57" s="20" t="s">
        <v>16</v>
      </c>
      <c r="E57" s="21" t="n">
        <v>2238.0</v>
      </c>
      <c r="F57" s="22" t="n">
        <f>52</f>
        <v>52.0</v>
      </c>
      <c r="G57" s="21" t="n">
        <v>1.7793382E9</v>
      </c>
      <c r="H57" s="22" t="n">
        <f>41326200</f>
        <v>4.13262E7</v>
      </c>
    </row>
    <row r="58" spans="1:8" ht="24.9" customHeight="1">
      <c r="A58" s="51"/>
      <c r="B58" s="57"/>
      <c r="C58" s="39"/>
      <c r="D58" s="20" t="s">
        <v>17</v>
      </c>
      <c r="E58" s="21" t="n">
        <v>2001.0</v>
      </c>
      <c r="F58" s="22" t="n">
        <f>25</f>
        <v>25.0</v>
      </c>
      <c r="G58" s="21" t="n">
        <v>1.5766814E9</v>
      </c>
      <c r="H58" s="22" t="n">
        <f>19738400</f>
        <v>1.97384E7</v>
      </c>
    </row>
    <row r="59" spans="1:8" ht="24.9" customHeight="1">
      <c r="A59" s="51"/>
      <c r="B59" s="57"/>
      <c r="C59" s="39"/>
      <c r="D59" s="24" t="s">
        <v>18</v>
      </c>
      <c r="E59" s="25" t="n">
        <v>4876.0</v>
      </c>
      <c r="F59" s="26" t="n">
        <f>88</f>
        <v>88.0</v>
      </c>
      <c r="G59" s="25" t="n">
        <v>3.8543435E9</v>
      </c>
      <c r="H59" s="26" t="n">
        <f>69673500</f>
        <v>6.96735E7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104.0</v>
      </c>
      <c r="F60" s="18" t="n">
        <f>2</f>
        <v>2.0</v>
      </c>
      <c r="G60" s="17" t="n">
        <v>5.4752029E8</v>
      </c>
      <c r="H60" s="18" t="n">
        <f>10516090</f>
        <v>1.051609E7</v>
      </c>
    </row>
    <row r="61" spans="1:8" ht="24.9" customHeight="1">
      <c r="A61" s="51"/>
      <c r="B61" s="57"/>
      <c r="C61" s="39"/>
      <c r="D61" s="20" t="s">
        <v>16</v>
      </c>
      <c r="E61" s="21" t="n">
        <v>67.0</v>
      </c>
      <c r="F61" s="22" t="n">
        <f>1</f>
        <v>1.0</v>
      </c>
      <c r="G61" s="21" t="n">
        <v>3.518434E8</v>
      </c>
      <c r="H61" s="22" t="n">
        <f>5261900</f>
        <v>5261900.0</v>
      </c>
    </row>
    <row r="62" spans="1:8" ht="24.9" customHeight="1">
      <c r="A62" s="51"/>
      <c r="B62" s="57"/>
      <c r="C62" s="39"/>
      <c r="D62" s="20" t="s">
        <v>17</v>
      </c>
      <c r="E62" s="21" t="n">
        <v>14.0</v>
      </c>
      <c r="F62" s="22" t="n">
        <f>1</f>
        <v>1.0</v>
      </c>
      <c r="G62" s="21" t="n">
        <v>7.339239E7</v>
      </c>
      <c r="H62" s="22" t="n">
        <f>5248790</f>
        <v>5248790.0</v>
      </c>
    </row>
    <row r="63" spans="1:8" ht="24.9" customHeight="1">
      <c r="A63" s="51"/>
      <c r="B63" s="57"/>
      <c r="C63" s="39"/>
      <c r="D63" s="24" t="s">
        <v>18</v>
      </c>
      <c r="E63" s="25" t="n">
        <v>185.0</v>
      </c>
      <c r="F63" s="26" t="n">
        <f>4</f>
        <v>4.0</v>
      </c>
      <c r="G63" s="25" t="n">
        <v>9.7275608E8</v>
      </c>
      <c r="H63" s="26" t="n">
        <f>21026780</f>
        <v>2.102678E7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997000.0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16.0</v>
      </c>
      <c r="F78" s="22" t="n">
        <f>0</f>
        <v>0.0</v>
      </c>
      <c r="G78" s="21" t="n">
        <v>5291000.0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19.0</v>
      </c>
      <c r="F79" s="26" t="n">
        <f>0</f>
        <v>0.0</v>
      </c>
      <c r="G79" s="25" t="n">
        <v>6288000.0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86.0</v>
      </c>
      <c r="F92" s="18" t="n">
        <f>0</f>
        <v>0.0</v>
      </c>
      <c r="G92" s="17" t="n">
        <v>1.351571E8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44.0</v>
      </c>
      <c r="F93" s="22" t="n">
        <f>0</f>
        <v>0.0</v>
      </c>
      <c r="G93" s="21" t="n">
        <v>6.92114E7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651.0</v>
      </c>
      <c r="F94" s="22" t="n">
        <f>0</f>
        <v>0.0</v>
      </c>
      <c r="G94" s="21" t="n">
        <v>1.0241584E9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781.0</v>
      </c>
      <c r="F95" s="26" t="n">
        <f>0</f>
        <v>0.0</v>
      </c>
      <c r="G95" s="25" t="n">
        <v>1.2285269E9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30.0</v>
      </c>
      <c r="F96" s="18" t="n">
        <f>0</f>
        <v>0.0</v>
      </c>
      <c r="G96" s="17" t="n">
        <v>7.1038E7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10.0</v>
      </c>
      <c r="F97" s="22" t="n">
        <f>0</f>
        <v>0.0</v>
      </c>
      <c r="G97" s="21" t="n">
        <v>2.3705E7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40.0</v>
      </c>
      <c r="F99" s="26" t="n">
        <f>0</f>
        <v>0.0</v>
      </c>
      <c r="G99" s="25" t="n">
        <v>9.4743E7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9336.0</v>
      </c>
      <c r="F108" s="18" t="n">
        <f>50</f>
        <v>50.0</v>
      </c>
      <c r="G108" s="17" t="n">
        <v>1.18066662E12</v>
      </c>
      <c r="H108" s="18" t="n">
        <f>6322500000</f>
        <v>6.3225E9</v>
      </c>
    </row>
    <row r="109" spans="1:8" ht="24.9" customHeight="1">
      <c r="A109" s="51"/>
      <c r="B109" s="57"/>
      <c r="C109" s="39"/>
      <c r="D109" s="20" t="s">
        <v>16</v>
      </c>
      <c r="E109" s="21" t="n">
        <v>15362.0</v>
      </c>
      <c r="F109" s="22" t="n">
        <f>554</f>
        <v>554.0</v>
      </c>
      <c r="G109" s="21" t="n">
        <v>1.94158891E12</v>
      </c>
      <c r="H109" s="22" t="n">
        <f>70050450000</f>
        <v>7.005045E10</v>
      </c>
    </row>
    <row r="110" spans="1:8" ht="24.9" customHeight="1">
      <c r="A110" s="51"/>
      <c r="B110" s="57"/>
      <c r="C110" s="39"/>
      <c r="D110" s="20" t="s">
        <v>17</v>
      </c>
      <c r="E110" s="21" t="n">
        <v>13303.0</v>
      </c>
      <c r="F110" s="22" t="n">
        <f>1815</f>
        <v>1815.0</v>
      </c>
      <c r="G110" s="21" t="n">
        <v>1.679837475E12</v>
      </c>
      <c r="H110" s="22" t="n">
        <f>229247735000</f>
        <v>2.29247735E11</v>
      </c>
    </row>
    <row r="111" spans="1:8" ht="24.9" customHeight="1">
      <c r="A111" s="51"/>
      <c r="B111" s="57"/>
      <c r="C111" s="39"/>
      <c r="D111" s="24" t="s">
        <v>18</v>
      </c>
      <c r="E111" s="25" t="n">
        <v>38001.0</v>
      </c>
      <c r="F111" s="26" t="n">
        <f>2419</f>
        <v>2419.0</v>
      </c>
      <c r="G111" s="25" t="n">
        <v>4.802093005E12</v>
      </c>
      <c r="H111" s="26" t="n">
        <f>305620685000</f>
        <v>3.05620685E11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1.0</v>
      </c>
      <c r="F112" s="18" t="n">
        <f>0</f>
        <v>0.0</v>
      </c>
      <c r="G112" s="17" t="n">
        <v>1.264E7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3033.0</v>
      </c>
      <c r="F113" s="22" t="n">
        <f>0</f>
        <v>0.0</v>
      </c>
      <c r="G113" s="21" t="n">
        <v>3.8337067E10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1922.0</v>
      </c>
      <c r="F114" s="22" t="n">
        <f>0</f>
        <v>0.0</v>
      </c>
      <c r="G114" s="21" t="n">
        <v>2.4270506E10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4956.0</v>
      </c>
      <c r="F115" s="26" t="n">
        <f>0</f>
        <v>0.0</v>
      </c>
      <c r="G115" s="25" t="n">
        <v>6.2620213E10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223.0</v>
      </c>
      <c r="F118" s="22" t="n">
        <f>123</f>
        <v>123.0</v>
      </c>
      <c r="G118" s="21" t="n">
        <v>2.024155E9</v>
      </c>
      <c r="H118" s="22" t="n">
        <f>1117455000</f>
        <v>1.117455E9</v>
      </c>
    </row>
    <row r="119" spans="1:8" ht="24.9" customHeight="1">
      <c r="A119" s="51"/>
      <c r="B119" s="58"/>
      <c r="C119" s="39"/>
      <c r="D119" s="24" t="s">
        <v>18</v>
      </c>
      <c r="E119" s="25" t="n">
        <v>223.0</v>
      </c>
      <c r="F119" s="26" t="n">
        <f>123</f>
        <v>123.0</v>
      </c>
      <c r="G119" s="25" t="n">
        <v>2.024155E9</v>
      </c>
      <c r="H119" s="26" t="n">
        <f>1117455000</f>
        <v>1.117455E9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609.0</v>
      </c>
      <c r="F120" s="18" t="n">
        <f>0</f>
        <v>0.0</v>
      </c>
      <c r="G120" s="17" t="n">
        <v>1.4988936875E10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2092.0</v>
      </c>
      <c r="F121" s="22" t="n">
        <f>0</f>
        <v>0.0</v>
      </c>
      <c r="G121" s="21" t="n">
        <v>5.1573806875E10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1740.0</v>
      </c>
      <c r="F122" s="22" t="n">
        <f>0</f>
        <v>0.0</v>
      </c>
      <c r="G122" s="21" t="n">
        <v>4.26846625E10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4441.0</v>
      </c>
      <c r="F123" s="26" t="n">
        <f>0</f>
        <v>0.0</v>
      </c>
      <c r="G123" s="25" t="n">
        <v>1.0924740625E11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4179.0</v>
      </c>
      <c r="F124" s="18" t="n">
        <f>0</f>
        <v>0.0</v>
      </c>
      <c r="G124" s="17" t="n">
        <v>8.6842779E10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3361.0</v>
      </c>
      <c r="F125" s="22" t="n">
        <f>0</f>
        <v>0.0</v>
      </c>
      <c r="G125" s="21" t="n">
        <v>7.0613489E10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1745.0</v>
      </c>
      <c r="F126" s="22" t="n">
        <f>0</f>
        <v>0.0</v>
      </c>
      <c r="G126" s="21" t="n">
        <v>3.6433145E10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9285.0</v>
      </c>
      <c r="F127" s="26" t="n">
        <f>0</f>
        <v>0.0</v>
      </c>
      <c r="G127" s="25" t="n">
        <v>1.93889413E11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402.0</v>
      </c>
      <c r="F128" s="18" t="n">
        <f>0</f>
        <v>0.0</v>
      </c>
      <c r="G128" s="17" t="n">
        <v>8.272145E8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352.0</v>
      </c>
      <c r="F129" s="22" t="n">
        <f>0</f>
        <v>0.0</v>
      </c>
      <c r="G129" s="21" t="n">
        <v>7.328923E8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73.0</v>
      </c>
      <c r="F130" s="22" t="n">
        <f>0</f>
        <v>0.0</v>
      </c>
      <c r="G130" s="21" t="n">
        <v>1.521722E8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827.0</v>
      </c>
      <c r="F131" s="26" t="n">
        <f>0</f>
        <v>0.0</v>
      </c>
      <c r="G131" s="25" t="n">
        <v>1.712279E9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5881.0</v>
      </c>
      <c r="F132" s="18" t="n">
        <f>0</f>
        <v>0.0</v>
      </c>
      <c r="G132" s="17" t="n">
        <v>1.224789135E10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1736.0</v>
      </c>
      <c r="F133" s="22" t="n">
        <f>0</f>
        <v>0.0</v>
      </c>
      <c r="G133" s="21" t="n">
        <v>3.6532721E9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1482.0</v>
      </c>
      <c r="F134" s="22" t="n">
        <f>0</f>
        <v>0.0</v>
      </c>
      <c r="G134" s="21" t="n">
        <v>3.10084325E9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9099.0</v>
      </c>
      <c r="F135" s="26" t="n">
        <f>0</f>
        <v>0.0</v>
      </c>
      <c r="G135" s="25" t="n">
        <v>1.90020067E10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90.0</v>
      </c>
      <c r="F136" s="18" t="n">
        <f>0</f>
        <v>0.0</v>
      </c>
      <c r="G136" s="17" t="n">
        <v>1.813856E8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15.0</v>
      </c>
      <c r="F137" s="22" t="n">
        <f>0</f>
        <v>0.0</v>
      </c>
      <c r="G137" s="21" t="n">
        <v>3.05708E7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98.0</v>
      </c>
      <c r="F138" s="22" t="n">
        <f>0</f>
        <v>0.0</v>
      </c>
      <c r="G138" s="21" t="n">
        <v>1.988321E8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203.0</v>
      </c>
      <c r="F139" s="26" t="n">
        <f>0</f>
        <v>0.0</v>
      </c>
      <c r="G139" s="25" t="n">
        <v>4.107885E8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8787000.0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8787000.0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1066.0</v>
      </c>
      <c r="F144" s="18" t="n">
        <f>0</f>
        <v>0.0</v>
      </c>
      <c r="G144" s="17" t="n">
        <v>3.968676E9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884.0</v>
      </c>
      <c r="F145" s="22" t="n">
        <f>0</f>
        <v>0.0</v>
      </c>
      <c r="G145" s="21" t="n">
        <v>3.36003E9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960.0</v>
      </c>
      <c r="F146" s="22" t="n">
        <f>0</f>
        <v>0.0</v>
      </c>
      <c r="G146" s="21" t="n">
        <v>3.6219845E9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2910.0</v>
      </c>
      <c r="F147" s="26" t="n">
        <f>0</f>
        <v>0.0</v>
      </c>
      <c r="G147" s="25" t="n">
        <v>1.09506905E10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2154.0</v>
      </c>
      <c r="F148" s="18" t="n">
        <f>0</f>
        <v>0.0</v>
      </c>
      <c r="G148" s="17" t="n">
        <v>1.6542592E9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300.0</v>
      </c>
      <c r="F149" s="22" t="n">
        <f>0</f>
        <v>0.0</v>
      </c>
      <c r="G149" s="21" t="n">
        <v>2.326092E8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389.0</v>
      </c>
      <c r="F150" s="22" t="n">
        <f>0</f>
        <v>0.0</v>
      </c>
      <c r="G150" s="21" t="n">
        <v>2.990157E8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2843.0</v>
      </c>
      <c r="F151" s="26" t="n">
        <f>0</f>
        <v>0.0</v>
      </c>
      <c r="G151" s="25" t="n">
        <v>2.1858841E9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341.0</v>
      </c>
      <c r="F152" s="18" t="n">
        <f>0</f>
        <v>0.0</v>
      </c>
      <c r="G152" s="17" t="n">
        <v>2.5456525E8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234.0</v>
      </c>
      <c r="F153" s="22" t="n">
        <f>0</f>
        <v>0.0</v>
      </c>
      <c r="G153" s="21" t="n">
        <v>1.789387E8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472.0</v>
      </c>
      <c r="F154" s="22" t="n">
        <f>0</f>
        <v>0.0</v>
      </c>
      <c r="G154" s="21" t="n">
        <v>3.5419665E8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1047.0</v>
      </c>
      <c r="F155" s="26" t="n">
        <f>0</f>
        <v>0.0</v>
      </c>
      <c r="G155" s="25" t="n">
        <v>7.877006E8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112.0</v>
      </c>
      <c r="F156" s="18" t="n">
        <f>0</f>
        <v>0.0</v>
      </c>
      <c r="G156" s="17" t="n">
        <v>8.33191E7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28.0</v>
      </c>
      <c r="F157" s="22" t="n">
        <f>0</f>
        <v>0.0</v>
      </c>
      <c r="G157" s="21" t="n">
        <v>2.12097E7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241.0</v>
      </c>
      <c r="F158" s="22" t="n">
        <f>0</f>
        <v>0.0</v>
      </c>
      <c r="G158" s="21" t="n">
        <v>1.817905E8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381.0</v>
      </c>
      <c r="F159" s="26" t="n">
        <f>0</f>
        <v>0.0</v>
      </c>
      <c r="G159" s="25" t="n">
        <v>2.863193E8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245.0</v>
      </c>
      <c r="F168" s="18" t="n">
        <f>0</f>
        <v>0.0</v>
      </c>
      <c r="G168" s="17" t="n">
        <v>5.435985E8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155.0</v>
      </c>
      <c r="F169" s="22" t="n">
        <f>0</f>
        <v>0.0</v>
      </c>
      <c r="G169" s="21" t="n">
        <v>3.459035E8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376.0</v>
      </c>
      <c r="F170" s="22" t="n">
        <f>0</f>
        <v>0.0</v>
      </c>
      <c r="G170" s="21" t="n">
        <v>8.41267E8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776.0</v>
      </c>
      <c r="F171" s="26" t="n">
        <f>0</f>
        <v>0.0</v>
      </c>
      <c r="G171" s="25" t="n">
        <v>1.730769E9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20.0</v>
      </c>
      <c r="F178" s="22" t="n">
        <f>0</f>
        <v>0.0</v>
      </c>
      <c r="G178" s="21" t="n">
        <v>3.932E7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20.0</v>
      </c>
      <c r="F179" s="26" t="n">
        <f>0</f>
        <v>0.0</v>
      </c>
      <c r="G179" s="25" t="n">
        <v>3.932E7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445.0</v>
      </c>
      <c r="F204" s="18" t="n">
        <f>0</f>
        <v>0.0</v>
      </c>
      <c r="G204" s="17" t="n">
        <v>2.252276E9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247.0</v>
      </c>
      <c r="F205" s="22" t="n">
        <f>0</f>
        <v>0.0</v>
      </c>
      <c r="G205" s="21" t="n">
        <v>1.2193355E9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1689.0</v>
      </c>
      <c r="F206" s="22" t="n">
        <f>0</f>
        <v>0.0</v>
      </c>
      <c r="G206" s="21" t="n">
        <v>8.4288265E9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2381.0</v>
      </c>
      <c r="F207" s="26" t="n">
        <f>0</f>
        <v>0.0</v>
      </c>
      <c r="G207" s="25" t="n">
        <v>1.1900438E10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50.0</v>
      </c>
      <c r="F208" s="18" t="n">
        <f>50</f>
        <v>50.0</v>
      </c>
      <c r="G208" s="17" t="n">
        <v>1.18482E8</v>
      </c>
      <c r="H208" s="18" t="n">
        <f>118482000</f>
        <v>1.18482E8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3890.0</v>
      </c>
      <c r="F210" s="22" t="n">
        <f>3890</f>
        <v>3890.0</v>
      </c>
      <c r="G210" s="21" t="n">
        <v>8.0738064E9</v>
      </c>
      <c r="H210" s="22" t="n">
        <f>8073806400</f>
        <v>8.0738064E9</v>
      </c>
    </row>
    <row r="211" spans="1:8" ht="24.9" customHeight="1">
      <c r="A211" s="57"/>
      <c r="B211" s="59"/>
      <c r="C211" s="39"/>
      <c r="D211" s="24" t="s">
        <v>18</v>
      </c>
      <c r="E211" s="25" t="n">
        <v>3940.0</v>
      </c>
      <c r="F211" s="26" t="n">
        <f>3940</f>
        <v>3940.0</v>
      </c>
      <c r="G211" s="25" t="n">
        <v>8.1922884E9</v>
      </c>
      <c r="H211" s="26" t="n">
        <f>8192288400</f>
        <v>8.1922884E9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50.0</v>
      </c>
      <c r="F212" s="18" t="n">
        <f>50</f>
        <v>50.0</v>
      </c>
      <c r="G212" s="17" t="n">
        <v>9.021E7</v>
      </c>
      <c r="H212" s="18" t="n">
        <f>90210000</f>
        <v>9.021E7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50.0</v>
      </c>
      <c r="F215" s="26" t="n">
        <f>50</f>
        <v>50.0</v>
      </c>
      <c r="G215" s="25" t="n">
        <v>9.021E7</v>
      </c>
      <c r="H215" s="26" t="n">
        <f>90210000</f>
        <v>9.021E7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46323.0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46323.0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3833</f>
        <v>3833.0</v>
      </c>
      <c r="E12" s="35" t="n">
        <f>2509</f>
        <v>2509.0</v>
      </c>
      <c r="F12" s="17" t="n">
        <f>2735</f>
        <v>2735.0</v>
      </c>
      <c r="G12" s="35" t="n">
        <f>742</f>
        <v>742.0</v>
      </c>
      <c r="H12" s="17" t="n">
        <f>6568</f>
        <v>6568.0</v>
      </c>
      <c r="I12" s="35" t="n">
        <f>3251</f>
        <v>3251.0</v>
      </c>
      <c r="J12" s="17" t="n">
        <f>3470317360</f>
        <v>3.47031736E9</v>
      </c>
      <c r="K12" s="35" t="n">
        <f>3119723360</f>
        <v>3.11972336E9</v>
      </c>
      <c r="L12" s="17" t="n">
        <f>1011484600</f>
        <v>1.0114846E9</v>
      </c>
      <c r="M12" s="35" t="n">
        <f>521333600</f>
        <v>5.213336E8</v>
      </c>
      <c r="N12" s="17" t="n">
        <f>4481801960</f>
        <v>4.48180196E9</v>
      </c>
      <c r="O12" s="35" t="n">
        <f>3641056960</f>
        <v>3.64105696E9</v>
      </c>
    </row>
    <row r="13" spans="1:15" ht="24.9" customHeight="1">
      <c r="A13" s="38"/>
      <c r="B13" s="62"/>
      <c r="C13" s="20" t="s">
        <v>16</v>
      </c>
      <c r="D13" s="21" t="n">
        <f>4037</f>
        <v>4037.0</v>
      </c>
      <c r="E13" s="36" t="n">
        <f>2647</f>
        <v>2647.0</v>
      </c>
      <c r="F13" s="21" t="n">
        <f>3340</f>
        <v>3340.0</v>
      </c>
      <c r="G13" s="36" t="n">
        <f>1533</f>
        <v>1533.0</v>
      </c>
      <c r="H13" s="21" t="n">
        <f>7377</f>
        <v>7377.0</v>
      </c>
      <c r="I13" s="36" t="n">
        <f>4180</f>
        <v>4180.0</v>
      </c>
      <c r="J13" s="21" t="n">
        <f>4657537000</f>
        <v>4.657537E9</v>
      </c>
      <c r="K13" s="36" t="n">
        <f>4042924000</f>
        <v>4.042924E9</v>
      </c>
      <c r="L13" s="21" t="n">
        <f>2580269110</f>
        <v>2.58026911E9</v>
      </c>
      <c r="M13" s="36" t="n">
        <f>2090635110</f>
        <v>2.09063511E9</v>
      </c>
      <c r="N13" s="21" t="n">
        <f>7237806110</f>
        <v>7.23780611E9</v>
      </c>
      <c r="O13" s="36" t="n">
        <f>6133559110</f>
        <v>6.13355911E9</v>
      </c>
    </row>
    <row r="14" spans="1:15" ht="24.9" customHeight="1">
      <c r="A14" s="38"/>
      <c r="B14" s="62"/>
      <c r="C14" s="20" t="s">
        <v>17</v>
      </c>
      <c r="D14" s="21" t="n">
        <f>7610</f>
        <v>7610.0</v>
      </c>
      <c r="E14" s="36" t="n">
        <f>4977</f>
        <v>4977.0</v>
      </c>
      <c r="F14" s="21" t="n">
        <f>11169</f>
        <v>11169.0</v>
      </c>
      <c r="G14" s="36" t="n">
        <f>8725</f>
        <v>8725.0</v>
      </c>
      <c r="H14" s="21" t="n">
        <f>18779</f>
        <v>18779.0</v>
      </c>
      <c r="I14" s="36" t="n">
        <f>13702</f>
        <v>13702.0</v>
      </c>
      <c r="J14" s="21" t="n">
        <f>5701205680</f>
        <v>5.70120568E9</v>
      </c>
      <c r="K14" s="36" t="n">
        <f>4486433680</f>
        <v>4.48643368E9</v>
      </c>
      <c r="L14" s="21" t="n">
        <f>19738887780</f>
        <v>1.973888778E10</v>
      </c>
      <c r="M14" s="36" t="n">
        <f>18872992780</f>
        <v>1.887299278E10</v>
      </c>
      <c r="N14" s="21" t="n">
        <f>25440093460</f>
        <v>2.544009346E10</v>
      </c>
      <c r="O14" s="36" t="n">
        <f>23359426460</f>
        <v>2.335942646E10</v>
      </c>
    </row>
    <row r="15" spans="1:15" ht="24.9" customHeight="1">
      <c r="A15" s="38"/>
      <c r="B15" s="62"/>
      <c r="C15" s="24" t="s">
        <v>18</v>
      </c>
      <c r="D15" s="25" t="n">
        <f>15480</f>
        <v>15480.0</v>
      </c>
      <c r="E15" s="37" t="n">
        <f>10133</f>
        <v>10133.0</v>
      </c>
      <c r="F15" s="25" t="n">
        <f>17244</f>
        <v>17244.0</v>
      </c>
      <c r="G15" s="37" t="n">
        <f>11000</f>
        <v>11000.0</v>
      </c>
      <c r="H15" s="25" t="n">
        <f>32724</f>
        <v>32724.0</v>
      </c>
      <c r="I15" s="37" t="n">
        <f>21133</f>
        <v>21133.0</v>
      </c>
      <c r="J15" s="25" t="n">
        <f>13829060040</f>
        <v>1.382906004E10</v>
      </c>
      <c r="K15" s="37" t="n">
        <f>11649081040</f>
        <v>1.164908104E10</v>
      </c>
      <c r="L15" s="25" t="n">
        <f>23330641490</f>
        <v>2.333064149E10</v>
      </c>
      <c r="M15" s="37" t="n">
        <f>21484961490</f>
        <v>2.148496149E10</v>
      </c>
      <c r="N15" s="25" t="n">
        <f>37159701530</f>
        <v>3.715970153E10</v>
      </c>
      <c r="O15" s="37" t="n">
        <f>33134042530</f>
        <v>3.313404253E10</v>
      </c>
    </row>
    <row r="16" spans="1:15" ht="24.9" customHeight="1">
      <c r="A16" s="38"/>
      <c r="B16" s="61" t="s">
        <v>105</v>
      </c>
      <c r="C16" s="16" t="s">
        <v>15</v>
      </c>
      <c r="D16" s="17" t="n">
        <f>7449</f>
        <v>7449.0</v>
      </c>
      <c r="E16" s="35" t="n">
        <f>470</f>
        <v>470.0</v>
      </c>
      <c r="F16" s="17" t="n">
        <f>10025</f>
        <v>10025.0</v>
      </c>
      <c r="G16" s="35" t="n">
        <f>680</f>
        <v>680.0</v>
      </c>
      <c r="H16" s="17" t="n">
        <f>17474</f>
        <v>17474.0</v>
      </c>
      <c r="I16" s="35" t="n">
        <f>1150</f>
        <v>1150.0</v>
      </c>
      <c r="J16" s="17" t="n">
        <f>287846820</f>
        <v>2.8784682E8</v>
      </c>
      <c r="K16" s="35" t="n">
        <f>12871220</f>
        <v>1.287122E7</v>
      </c>
      <c r="L16" s="17" t="n">
        <f>274985420</f>
        <v>2.7498542E8</v>
      </c>
      <c r="M16" s="35" t="n">
        <f>20339020</f>
        <v>2.033902E7</v>
      </c>
      <c r="N16" s="17" t="n">
        <f>562832240</f>
        <v>5.6283224E8</v>
      </c>
      <c r="O16" s="35" t="n">
        <f>33210240</f>
        <v>3.321024E7</v>
      </c>
    </row>
    <row r="17" spans="1:15" ht="24.9" customHeight="1">
      <c r="A17" s="38"/>
      <c r="B17" s="62"/>
      <c r="C17" s="20" t="s">
        <v>16</v>
      </c>
      <c r="D17" s="21" t="n">
        <f>6855</f>
        <v>6855.0</v>
      </c>
      <c r="E17" s="36" t="n">
        <f>780</f>
        <v>780.0</v>
      </c>
      <c r="F17" s="21" t="n">
        <f>6761</f>
        <v>6761.0</v>
      </c>
      <c r="G17" s="36" t="n">
        <f>190</f>
        <v>190.0</v>
      </c>
      <c r="H17" s="21" t="n">
        <f>13616</f>
        <v>13616.0</v>
      </c>
      <c r="I17" s="36" t="n">
        <f>970</f>
        <v>970.0</v>
      </c>
      <c r="J17" s="21" t="n">
        <f>183228010</f>
        <v>1.8322801E8</v>
      </c>
      <c r="K17" s="36" t="n">
        <f>25892910</f>
        <v>2.589291E7</v>
      </c>
      <c r="L17" s="21" t="n">
        <f>141745320</f>
        <v>1.4174532E8</v>
      </c>
      <c r="M17" s="36" t="n">
        <f>4332420</f>
        <v>4332420.0</v>
      </c>
      <c r="N17" s="21" t="n">
        <f>324973330</f>
        <v>3.2497333E8</v>
      </c>
      <c r="O17" s="36" t="n">
        <f>30225330</f>
        <v>3.022533E7</v>
      </c>
    </row>
    <row r="18" spans="1:15" ht="24.9" customHeight="1">
      <c r="A18" s="38"/>
      <c r="B18" s="62"/>
      <c r="C18" s="20" t="s">
        <v>17</v>
      </c>
      <c r="D18" s="21" t="n">
        <f>6421</f>
        <v>6421.0</v>
      </c>
      <c r="E18" s="36" t="n">
        <f>500</f>
        <v>500.0</v>
      </c>
      <c r="F18" s="21" t="n">
        <f>6385</f>
        <v>6385.0</v>
      </c>
      <c r="G18" s="36" t="n">
        <f>290</f>
        <v>290.0</v>
      </c>
      <c r="H18" s="21" t="n">
        <f>12806</f>
        <v>12806.0</v>
      </c>
      <c r="I18" s="36" t="n">
        <f>790</f>
        <v>790.0</v>
      </c>
      <c r="J18" s="21" t="n">
        <f>149334080</f>
        <v>1.4933408E8</v>
      </c>
      <c r="K18" s="36" t="n">
        <f>5931380</f>
        <v>5931380.0</v>
      </c>
      <c r="L18" s="21" t="n">
        <f>139651180</f>
        <v>1.3965118E8</v>
      </c>
      <c r="M18" s="36" t="n">
        <f>1274380</f>
        <v>1274380.0</v>
      </c>
      <c r="N18" s="21" t="n">
        <f>288985260</f>
        <v>2.8898526E8</v>
      </c>
      <c r="O18" s="36" t="n">
        <f>7205760</f>
        <v>7205760.0</v>
      </c>
    </row>
    <row r="19" spans="1:15" ht="24.9" customHeight="1">
      <c r="A19" s="38"/>
      <c r="B19" s="62"/>
      <c r="C19" s="24" t="s">
        <v>18</v>
      </c>
      <c r="D19" s="25" t="n">
        <f>20725</f>
        <v>20725.0</v>
      </c>
      <c r="E19" s="37" t="n">
        <f>1750</f>
        <v>1750.0</v>
      </c>
      <c r="F19" s="25" t="n">
        <f>23171</f>
        <v>23171.0</v>
      </c>
      <c r="G19" s="37" t="n">
        <f>1160</f>
        <v>1160.0</v>
      </c>
      <c r="H19" s="25" t="n">
        <f>43896</f>
        <v>43896.0</v>
      </c>
      <c r="I19" s="37" t="n">
        <f>2910</f>
        <v>2910.0</v>
      </c>
      <c r="J19" s="25" t="n">
        <f>620408910</f>
        <v>6.2040891E8</v>
      </c>
      <c r="K19" s="37" t="n">
        <f>44695510</f>
        <v>4.469551E7</v>
      </c>
      <c r="L19" s="25" t="n">
        <f>556381920</f>
        <v>5.5638192E8</v>
      </c>
      <c r="M19" s="37" t="n">
        <f>25945820</f>
        <v>2.594582E7</v>
      </c>
      <c r="N19" s="25" t="n">
        <f>1176790830</f>
        <v>1.17679083E9</v>
      </c>
      <c r="O19" s="37" t="n">
        <f>70641330</f>
        <v>7.064133E7</v>
      </c>
    </row>
    <row r="20" spans="1:15" ht="24.9" customHeight="1">
      <c r="A20" s="38"/>
      <c r="B20" s="61" t="s">
        <v>106</v>
      </c>
      <c r="C20" s="16" t="s">
        <v>15</v>
      </c>
      <c r="D20" s="17" t="n">
        <f>1300</f>
        <v>1300.0</v>
      </c>
      <c r="E20" s="35" t="n">
        <f>1300</f>
        <v>1300.0</v>
      </c>
      <c r="F20" s="17" t="n">
        <f>150</f>
        <v>150.0</v>
      </c>
      <c r="G20" s="35" t="n">
        <f>150</f>
        <v>150.0</v>
      </c>
      <c r="H20" s="17" t="n">
        <f>1450</f>
        <v>1450.0</v>
      </c>
      <c r="I20" s="35" t="n">
        <f>1450</f>
        <v>1450.0</v>
      </c>
      <c r="J20" s="17" t="n">
        <f>935940000</f>
        <v>9.3594E8</v>
      </c>
      <c r="K20" s="35" t="n">
        <f>935940000</f>
        <v>9.3594E8</v>
      </c>
      <c r="L20" s="17" t="n">
        <f>152310000</f>
        <v>1.5231E8</v>
      </c>
      <c r="M20" s="35" t="n">
        <f>152310000</f>
        <v>1.5231E8</v>
      </c>
      <c r="N20" s="17" t="n">
        <f>1088250000</f>
        <v>1.08825E9</v>
      </c>
      <c r="O20" s="35" t="n">
        <f>1088250000</f>
        <v>1.08825E9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855</f>
        <v>855.0</v>
      </c>
      <c r="E22" s="36" t="n">
        <f>850</f>
        <v>850.0</v>
      </c>
      <c r="F22" s="21" t="n">
        <f>425</f>
        <v>425.0</v>
      </c>
      <c r="G22" s="36" t="n">
        <f>425</f>
        <v>425.0</v>
      </c>
      <c r="H22" s="21" t="n">
        <f>1280</f>
        <v>1280.0</v>
      </c>
      <c r="I22" s="36" t="n">
        <f>1275</f>
        <v>1275.0</v>
      </c>
      <c r="J22" s="21" t="n">
        <f>874300000</f>
        <v>8.743E8</v>
      </c>
      <c r="K22" s="36" t="n">
        <f>871750000</f>
        <v>8.7175E8</v>
      </c>
      <c r="L22" s="21" t="n">
        <f>389100000</f>
        <v>3.891E8</v>
      </c>
      <c r="M22" s="36" t="n">
        <f>389100000</f>
        <v>3.891E8</v>
      </c>
      <c r="N22" s="21" t="n">
        <f>1263400000</f>
        <v>1.2634E9</v>
      </c>
      <c r="O22" s="36" t="n">
        <f>1260850000</f>
        <v>1.26085E9</v>
      </c>
    </row>
    <row r="23" spans="1:15" ht="24.9" customHeight="1">
      <c r="A23" s="38"/>
      <c r="B23" s="62"/>
      <c r="C23" s="24" t="s">
        <v>18</v>
      </c>
      <c r="D23" s="25" t="n">
        <f>2155</f>
        <v>2155.0</v>
      </c>
      <c r="E23" s="37" t="n">
        <f>2150</f>
        <v>2150.0</v>
      </c>
      <c r="F23" s="25" t="n">
        <f>575</f>
        <v>575.0</v>
      </c>
      <c r="G23" s="37" t="n">
        <f>575</f>
        <v>575.0</v>
      </c>
      <c r="H23" s="25" t="n">
        <f>2730</f>
        <v>2730.0</v>
      </c>
      <c r="I23" s="37" t="n">
        <f>2725</f>
        <v>2725.0</v>
      </c>
      <c r="J23" s="25" t="n">
        <f>1810240000</f>
        <v>1.81024E9</v>
      </c>
      <c r="K23" s="37" t="n">
        <f>1807690000</f>
        <v>1.80769E9</v>
      </c>
      <c r="L23" s="25" t="n">
        <f>541410000</f>
        <v>5.4141E8</v>
      </c>
      <c r="M23" s="37" t="n">
        <f>541410000</f>
        <v>5.4141E8</v>
      </c>
      <c r="N23" s="25" t="n">
        <f>2351650000</f>
        <v>2.35165E9</v>
      </c>
      <c r="O23" s="37" t="n">
        <f>2349100000</f>
        <v>2.3491E9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55</f>
        <v>55.0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55</f>
        <v>55.0</v>
      </c>
      <c r="I36" s="18" t="n">
        <f>0</f>
        <v>0.0</v>
      </c>
      <c r="J36" s="17" t="n">
        <f>1800000</f>
        <v>1800000.0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1800000</f>
        <v>1800000.0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55</f>
        <v>55.0</v>
      </c>
      <c r="E37" s="22" t="n">
        <f>25</f>
        <v>25.0</v>
      </c>
      <c r="F37" s="21" t="n">
        <f>0</f>
        <v>0.0</v>
      </c>
      <c r="G37" s="22" t="n">
        <f>0</f>
        <v>0.0</v>
      </c>
      <c r="H37" s="21" t="n">
        <f>55</f>
        <v>55.0</v>
      </c>
      <c r="I37" s="22" t="n">
        <f>25</f>
        <v>25.0</v>
      </c>
      <c r="J37" s="21" t="n">
        <f>11675000</f>
        <v>1.1675E7</v>
      </c>
      <c r="K37" s="22" t="n">
        <f>2425000</f>
        <v>2425000.0</v>
      </c>
      <c r="L37" s="21" t="n">
        <f>0</f>
        <v>0.0</v>
      </c>
      <c r="M37" s="22" t="n">
        <f>0</f>
        <v>0.0</v>
      </c>
      <c r="N37" s="21" t="n">
        <f>11675000</f>
        <v>1.1675E7</v>
      </c>
      <c r="O37" s="22" t="n">
        <f>2425000</f>
        <v>2425000.0</v>
      </c>
    </row>
    <row r="38" spans="1:15" ht="24.9" customHeight="1">
      <c r="A38" s="38"/>
      <c r="B38" s="62"/>
      <c r="C38" s="20" t="s">
        <v>17</v>
      </c>
      <c r="D38" s="21" t="n">
        <f>93</f>
        <v>93.0</v>
      </c>
      <c r="E38" s="36" t="n">
        <f>50</f>
        <v>50.0</v>
      </c>
      <c r="F38" s="21" t="n">
        <f>125</f>
        <v>125.0</v>
      </c>
      <c r="G38" s="36" t="n">
        <f>63</f>
        <v>63.0</v>
      </c>
      <c r="H38" s="21" t="n">
        <f>218</f>
        <v>218.0</v>
      </c>
      <c r="I38" s="36" t="n">
        <f>113</f>
        <v>113.0</v>
      </c>
      <c r="J38" s="21" t="n">
        <f>14950000</f>
        <v>1.495E7</v>
      </c>
      <c r="K38" s="36" t="n">
        <f>9000000</f>
        <v>9000000.0</v>
      </c>
      <c r="L38" s="21" t="n">
        <f>21100000</f>
        <v>2.11E7</v>
      </c>
      <c r="M38" s="36" t="n">
        <f>11130000</f>
        <v>1.113E7</v>
      </c>
      <c r="N38" s="21" t="n">
        <f>36050000</f>
        <v>3.605E7</v>
      </c>
      <c r="O38" s="36" t="n">
        <f>20130000</f>
        <v>2.013E7</v>
      </c>
    </row>
    <row r="39" spans="1:15" ht="24.9" customHeight="1">
      <c r="A39" s="38"/>
      <c r="B39" s="62"/>
      <c r="C39" s="24" t="s">
        <v>18</v>
      </c>
      <c r="D39" s="25" t="n">
        <f>203</f>
        <v>203.0</v>
      </c>
      <c r="E39" s="37" t="n">
        <f>75</f>
        <v>75.0</v>
      </c>
      <c r="F39" s="25" t="n">
        <f>125</f>
        <v>125.0</v>
      </c>
      <c r="G39" s="37" t="n">
        <f>63</f>
        <v>63.0</v>
      </c>
      <c r="H39" s="25" t="n">
        <f>328</f>
        <v>328.0</v>
      </c>
      <c r="I39" s="37" t="n">
        <f>138</f>
        <v>138.0</v>
      </c>
      <c r="J39" s="25" t="n">
        <f>28425000</f>
        <v>2.8425E7</v>
      </c>
      <c r="K39" s="37" t="n">
        <f>11425000</f>
        <v>1.1425E7</v>
      </c>
      <c r="L39" s="25" t="n">
        <f>21100000</f>
        <v>2.11E7</v>
      </c>
      <c r="M39" s="37" t="n">
        <f>11130000</f>
        <v>1.113E7</v>
      </c>
      <c r="N39" s="25" t="n">
        <f>49525000</f>
        <v>4.9525E7</v>
      </c>
      <c r="O39" s="37" t="n">
        <f>22555000</f>
        <v>2.2555E7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20324</f>
        <v>20324.0</v>
      </c>
      <c r="E41" s="36" t="n">
        <f>0</f>
        <v>0.0</v>
      </c>
      <c r="F41" s="21" t="n">
        <f>20404</f>
        <v>20404.0</v>
      </c>
      <c r="G41" s="36" t="n">
        <f>0</f>
        <v>0.0</v>
      </c>
      <c r="H41" s="21" t="n">
        <f>40728</f>
        <v>40728.0</v>
      </c>
      <c r="I41" s="36" t="n">
        <f>0</f>
        <v>0.0</v>
      </c>
      <c r="J41" s="21" t="n">
        <f>4110033</f>
        <v>4110033.0</v>
      </c>
      <c r="K41" s="36" t="n">
        <f>0</f>
        <v>0.0</v>
      </c>
      <c r="L41" s="21" t="n">
        <f>20782160</f>
        <v>2.078216E7</v>
      </c>
      <c r="M41" s="36" t="n">
        <f>0</f>
        <v>0.0</v>
      </c>
      <c r="N41" s="21" t="n">
        <f>24892193</f>
        <v>2.4892193E7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1262</f>
        <v>1262.0</v>
      </c>
      <c r="E42" s="36" t="n">
        <f>700</f>
        <v>700.0</v>
      </c>
      <c r="F42" s="21" t="n">
        <f>3323</f>
        <v>3323.0</v>
      </c>
      <c r="G42" s="36" t="n">
        <f>0</f>
        <v>0.0</v>
      </c>
      <c r="H42" s="21" t="n">
        <f>4585</f>
        <v>4585.0</v>
      </c>
      <c r="I42" s="36" t="n">
        <f>700</f>
        <v>700.0</v>
      </c>
      <c r="J42" s="21" t="n">
        <f>53736392</f>
        <v>5.3736392E7</v>
      </c>
      <c r="K42" s="36" t="n">
        <f>44100000</f>
        <v>4.41E7</v>
      </c>
      <c r="L42" s="21" t="n">
        <f>4512190</f>
        <v>4512190.0</v>
      </c>
      <c r="M42" s="36" t="n">
        <f>0</f>
        <v>0.0</v>
      </c>
      <c r="N42" s="21" t="n">
        <f>58248582</f>
        <v>5.8248582E7</v>
      </c>
      <c r="O42" s="36" t="n">
        <f>44100000</f>
        <v>4.41E7</v>
      </c>
    </row>
    <row r="43" spans="1:15" ht="24.9" customHeight="1">
      <c r="A43" s="38"/>
      <c r="B43" s="62"/>
      <c r="C43" s="24" t="s">
        <v>18</v>
      </c>
      <c r="D43" s="25" t="n">
        <f>21586</f>
        <v>21586.0</v>
      </c>
      <c r="E43" s="37" t="n">
        <f>700</f>
        <v>700.0</v>
      </c>
      <c r="F43" s="25" t="n">
        <f>23727</f>
        <v>23727.0</v>
      </c>
      <c r="G43" s="37" t="n">
        <f>0</f>
        <v>0.0</v>
      </c>
      <c r="H43" s="25" t="n">
        <f>45313</f>
        <v>45313.0</v>
      </c>
      <c r="I43" s="37" t="n">
        <f>700</f>
        <v>700.0</v>
      </c>
      <c r="J43" s="25" t="n">
        <f>57846425</f>
        <v>5.7846425E7</v>
      </c>
      <c r="K43" s="37" t="n">
        <f>44100000</f>
        <v>4.41E7</v>
      </c>
      <c r="L43" s="25" t="n">
        <f>25294350</f>
        <v>2.529435E7</v>
      </c>
      <c r="M43" s="37" t="n">
        <f>0</f>
        <v>0.0</v>
      </c>
      <c r="N43" s="25" t="n">
        <f>83140775</f>
        <v>8.3140775E7</v>
      </c>
      <c r="O43" s="37" t="n">
        <f>44100000</f>
        <v>4.41E7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