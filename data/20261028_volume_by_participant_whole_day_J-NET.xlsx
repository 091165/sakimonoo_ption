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<sst xmlns="http://schemas.openxmlformats.org/spreadsheetml/2006/main" count="364" uniqueCount="88">
  <si>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</si>
  <si>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</si>
  <si>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</si>
  <si>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</si>
  <si>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</si>
  <si>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</si>
  <si>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</si>
  <si>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</si>
  <si>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</si>
  <si>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20261028</t>
  </si>
  <si>
    <t>NK225F</t>
  </si>
  <si>
    <t>161120018</t>
  </si>
  <si>
    <t>NIKKEI 225 FUT 2612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</si>
  <si>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</si>
  <si>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</si>
  <si>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</si>
  <si>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</si>
  <si>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</si>
  <si>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</si>
  <si>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</si>
  <si>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</si>
  <si>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</si>
  <si>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</si>
  <si>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</si>
  <si>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</si>
  <si>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</si>
  <si>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</si>
  <si>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</si>
  <si>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</si>
  <si>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</si>
  <si>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</si>
  <si>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</si>
  <si>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</si>
  <si>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</si>
  <si>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</si>
  <si>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</si>
  <si>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</si>
  <si>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</si>
  <si>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</si>
  <si>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</si>
  <si>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</si>
  <si>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</si>
  <si>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</si>
  <si>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</si>
  <si>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</si>
  <si>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</si>
  <si>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</si>
  <si>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</si>
  <si>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</si>
  <si>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</si>
  <si>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</si>
  <si>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</si>
  <si>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</si>
  <si>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</si>
  <si>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</si>
  <si>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</si>
  <si>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</si>
  <si>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</si>
  <si>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</si>
  <si>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</si>
  <si>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</si>
  <si>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</si>
  <si>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</si>
  <si>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</si>
  <si>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</si>
  <si>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</si>
  <si>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</si>
  <si>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12724</t>
  </si>
  <si>
    <t>ＨＳＢＣ証券</t>
  </si>
  <si>
    <t>HSBC Securities (Japan)</t>
  </si>
  <si>
    <t>12000</t>
  </si>
  <si>
    <t>大和証券</t>
  </si>
  <si>
    <t>Daiwa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</si>
  <si>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</si>
  <si>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</si>
  <si>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</si>
  <si>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</si>
  <si>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</si>
  <si>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</si>
  <si>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</si>
  <si>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</si>
  <si>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</si>
  <si>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</si>
  <si>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</si>
  <si>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</si>
  <si>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</si>
  <si>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131233018</t>
  </si>
  <si>
    <t>NIKKEI 225 OOP P2611-63000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</si>
</sst>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3309.0</f>
        <v>3309.0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2542.0</f>
        <v>2542.0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1705.0</f>
        <v>1705.0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1415.0</f>
        <v>1415.0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994.0</f>
        <v>994.0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932.0</f>
        <v>932.0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801.0</f>
        <v>801.0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779.0</f>
        <v>779.0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641.0</f>
        <v>641.0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390.0</f>
        <v>390.0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382.0</f>
        <v>382.0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350.0</f>
        <v>350.0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335.0</f>
        <v>335.0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257.0</f>
        <v>257.0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207.0</f>
        <v>207.0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197.0</f>
        <v>197.0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48.0</f>
        <v>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42.0</f>
        <v>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27.0</f>
        <v>27.0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26.0</f>
        <v>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189.0</f>
        <v>189.0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178.0</f>
        <v>178.0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70</v>
      </c>
      <c r="F31" s="4" t="s">
        <v>71</v>
      </c>
      <c r="G31" s="4" t="s">
        <v>72</v>
      </c>
      <c r="H31" s="5" t="n">
        <f>89.0</f>
        <v>89.0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4.0</f>
        <v>4.0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4750.0</f>
        <v>4750.0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22</v>
      </c>
      <c r="F34" s="4" t="s">
        <v>23</v>
      </c>
      <c r="G34" s="4" t="s">
        <v>24</v>
      </c>
      <c r="H34" s="5" t="n">
        <f>2750.0</f>
        <v>2750.0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52</v>
      </c>
      <c r="F35" s="4" t="s">
        <v>53</v>
      </c>
      <c r="G35" s="4" t="s">
        <v>54</v>
      </c>
      <c r="H35" s="5" t="n">
        <f>2000.0</f>
        <v>2000.0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13</v>
      </c>
      <c r="F36" s="4" t="s">
        <v>14</v>
      </c>
      <c r="G36" s="4" t="s">
        <v>15</v>
      </c>
      <c r="H36" s="5" t="n">
        <f>2000.0</f>
        <v>2000.0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25</v>
      </c>
      <c r="F37" s="4" t="s">
        <v>26</v>
      </c>
      <c r="G37" s="4" t="s">
        <v>27</v>
      </c>
      <c r="H37" s="5" t="n">
        <f>1500.0</f>
        <v>1500.0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43</v>
      </c>
      <c r="F38" s="4" t="s">
        <v>44</v>
      </c>
      <c r="G38" s="4" t="s">
        <v>45</v>
      </c>
      <c r="H38" s="5" t="n">
        <f>1276.0</f>
        <v>1276.0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34</v>
      </c>
      <c r="F39" s="4" t="s">
        <v>35</v>
      </c>
      <c r="G39" s="4" t="s">
        <v>36</v>
      </c>
      <c r="H39" s="5" t="n">
        <f>1244.0</f>
        <v>1244.0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37</v>
      </c>
      <c r="F40" s="4" t="s">
        <v>38</v>
      </c>
      <c r="G40" s="4" t="s">
        <v>39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49</v>
      </c>
      <c r="F41" s="4" t="s">
        <v>50</v>
      </c>
      <c r="G41" s="4" t="s">
        <v>51</v>
      </c>
      <c r="H41" s="5" t="n">
        <f>500.0</f>
        <v>500.0</v>
      </c>
    </row>
    <row r="42">
      <c r="A42" s="3" t="s">
        <v>75</v>
      </c>
      <c r="B42" s="4" t="s">
        <v>76</v>
      </c>
      <c r="C42" s="4" t="s">
        <v>77</v>
      </c>
      <c r="D42" s="3" t="n">
        <v>10.0</v>
      </c>
      <c r="E42" s="4" t="s">
        <v>61</v>
      </c>
      <c r="F42" s="4" t="s">
        <v>62</v>
      </c>
      <c r="G42" s="4" t="s">
        <v>63</v>
      </c>
      <c r="H42" s="5" t="n">
        <f>172.0</f>
        <v>172.0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34</v>
      </c>
      <c r="F43" s="4" t="s">
        <v>35</v>
      </c>
      <c r="G43" s="4" t="s">
        <v>36</v>
      </c>
      <c r="H43" s="5" t="n">
        <f>32818.0</f>
        <v>32818.0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19668.0</f>
        <v>19668.0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3410.0</f>
        <v>3410.0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16</v>
      </c>
      <c r="F46" s="4" t="s">
        <v>17</v>
      </c>
      <c r="G46" s="4" t="s">
        <v>18</v>
      </c>
      <c r="H46" s="5" t="n">
        <f>30.0</f>
        <v>30.0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19</v>
      </c>
      <c r="F47" s="4" t="s">
        <v>20</v>
      </c>
      <c r="G47" s="4" t="s">
        <v>21</v>
      </c>
      <c r="H47" s="5" t="n">
        <f>30.0</f>
        <v>30.0</v>
      </c>
    </row>
    <row r="48">
      <c r="A48" s="3" t="s">
        <v>75</v>
      </c>
      <c r="B48" s="4" t="s">
        <v>80</v>
      </c>
      <c r="C48" s="4" t="s">
        <v>81</v>
      </c>
      <c r="D48" s="3" t="n">
        <v>1.0</v>
      </c>
      <c r="E48" s="4" t="s">
        <v>34</v>
      </c>
      <c r="F48" s="4" t="s">
        <v>35</v>
      </c>
      <c r="G48" s="4" t="s">
        <v>36</v>
      </c>
      <c r="H48" s="5" t="n">
        <f>8.0</f>
        <v>8.0</v>
      </c>
    </row>
    <row r="49">
      <c r="A49" s="3" t="s">
        <v>75</v>
      </c>
      <c r="B49" s="4" t="s">
        <v>80</v>
      </c>
      <c r="C49" s="4" t="s">
        <v>81</v>
      </c>
      <c r="D49" s="3" t="n">
        <v>2.0</v>
      </c>
      <c r="E49" s="4" t="s">
        <v>61</v>
      </c>
      <c r="F49" s="4" t="s">
        <v>62</v>
      </c>
      <c r="G49" s="4" t="s">
        <v>63</v>
      </c>
      <c r="H49" s="5" t="n">
        <f>4.0</f>
        <v>4.0</v>
      </c>
    </row>
    <row r="50">
      <c r="A50" s="3" t="s">
        <v>75</v>
      </c>
      <c r="B50" s="4" t="s">
        <v>80</v>
      </c>
      <c r="C50" s="4" t="s">
        <v>81</v>
      </c>
      <c r="D50" s="3" t="n">
        <v>3.0</v>
      </c>
      <c r="E50" s="4" t="s">
        <v>43</v>
      </c>
      <c r="F50" s="4" t="s">
        <v>44</v>
      </c>
      <c r="G50" s="4" t="s">
        <v>45</v>
      </c>
      <c r="H50" s="5" t="n">
        <f>2.0</f>
        <v>2.0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2700.0</f>
        <v>2700.0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28</v>
      </c>
      <c r="F52" s="4" t="s">
        <v>29</v>
      </c>
      <c r="G52" s="4" t="s">
        <v>30</v>
      </c>
      <c r="H52" s="5" t="n">
        <f>1560.0</f>
        <v>1560.0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46</v>
      </c>
      <c r="F53" s="4" t="s">
        <v>47</v>
      </c>
      <c r="G53" s="4" t="s">
        <v>48</v>
      </c>
      <c r="H53" s="5" t="n">
        <f>1329.0</f>
        <v>1329.0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37</v>
      </c>
      <c r="F54" s="4" t="s">
        <v>38</v>
      </c>
      <c r="G54" s="4" t="s">
        <v>39</v>
      </c>
      <c r="H54" s="5" t="n">
        <f>902.0</f>
        <v>902.0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34</v>
      </c>
      <c r="F55" s="4" t="s">
        <v>35</v>
      </c>
      <c r="G55" s="4" t="s">
        <v>36</v>
      </c>
      <c r="H55" s="5" t="n">
        <f>895.0</f>
        <v>895.0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22</v>
      </c>
      <c r="F56" s="4" t="s">
        <v>23</v>
      </c>
      <c r="G56" s="4" t="s">
        <v>24</v>
      </c>
      <c r="H56" s="5" t="n">
        <f>835.0</f>
        <v>835.0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70</v>
      </c>
      <c r="F57" s="4" t="s">
        <v>71</v>
      </c>
      <c r="G57" s="4" t="s">
        <v>72</v>
      </c>
      <c r="H57" s="5" t="n">
        <f>828.0</f>
        <v>828.0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13</v>
      </c>
      <c r="F58" s="4" t="s">
        <v>14</v>
      </c>
      <c r="G58" s="4" t="s">
        <v>15</v>
      </c>
      <c r="H58" s="5" t="n">
        <f>650.0</f>
        <v>650.0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16</v>
      </c>
      <c r="F59" s="4" t="s">
        <v>17</v>
      </c>
      <c r="G59" s="4" t="s">
        <v>18</v>
      </c>
      <c r="H59" s="5" t="n">
        <f>538.0</f>
        <v>538.0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19</v>
      </c>
      <c r="F60" s="4" t="s">
        <v>20</v>
      </c>
      <c r="G60" s="4" t="s">
        <v>21</v>
      </c>
      <c r="H60" s="5" t="n">
        <f>308.0</f>
        <v>308.0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49</v>
      </c>
      <c r="F61" s="4" t="s">
        <v>50</v>
      </c>
      <c r="G61" s="4" t="s">
        <v>51</v>
      </c>
      <c r="H61" s="5" t="n">
        <f>215.0</f>
        <v>215.0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58</v>
      </c>
      <c r="F62" s="4" t="s">
        <v>59</v>
      </c>
      <c r="G62" s="4" t="s">
        <v>60</v>
      </c>
      <c r="H62" s="5" t="n">
        <f>97.0</f>
        <v>97.0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25</v>
      </c>
      <c r="F63" s="4" t="s">
        <v>26</v>
      </c>
      <c r="G63" s="4" t="s">
        <v>27</v>
      </c>
      <c r="H63" s="5" t="n">
        <f>35.0</f>
        <v>35.0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64</v>
      </c>
      <c r="F64" s="4" t="s">
        <v>65</v>
      </c>
      <c r="G64" s="4" t="s">
        <v>66</v>
      </c>
      <c r="H64" s="5" t="n">
        <f>20.0</f>
        <v>20.0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61</v>
      </c>
      <c r="F65" s="4" t="s">
        <v>62</v>
      </c>
      <c r="G65" s="4" t="s">
        <v>63</v>
      </c>
      <c r="H65" s="5" t="n">
        <f>2.0</f>
        <v>2.0</v>
      </c>
    </row>
    <row r="66">
      <c r="A66" s="3" t="s">
        <v>85</v>
      </c>
      <c r="B66" s="4" t="s">
        <v>86</v>
      </c>
      <c r="C66" s="4" t="s">
        <v>87</v>
      </c>
      <c r="D66" s="3" t="n">
        <v>1.0</v>
      </c>
      <c r="E66" s="4" t="s">
        <v>34</v>
      </c>
      <c r="F66" s="4" t="s">
        <v>35</v>
      </c>
      <c r="G66" s="4" t="s">
        <v>36</v>
      </c>
      <c r="H66" s="5" t="n">
        <f>100.0</f>
        <v>100.0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