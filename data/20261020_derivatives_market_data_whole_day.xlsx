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<sst xmlns="http://schemas.openxmlformats.org/spreadsheetml/2006/main" count="528" uniqueCount="129">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</sst>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DATE(2026,10,20)</f>
        <v>46315.0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DATE(2026,10,20)</f>
        <v>46315.0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812974.0</f>
        <v>812974.0</v>
      </c>
      <c r="E12" s="18" t="n">
        <f>30873.0</f>
        <v>30873.0</v>
      </c>
      <c r="F12" s="19" t="n">
        <f>1.0</f>
        <v>1.0</v>
      </c>
      <c r="G12" s="17" t="n">
        <f>4947058520835.0</f>
        <v>4.947058520835E12</v>
      </c>
      <c r="H12" s="18" t="n">
        <f>276814029960.0</f>
        <v>2.7681402996E11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501380.0</f>
        <v>501380.0</v>
      </c>
      <c r="E13" s="22" t="n">
        <f>18090.0</f>
        <v>18090.0</v>
      </c>
      <c r="F13" s="23" t="n">
        <f>1.0</f>
        <v>1.0</v>
      </c>
      <c r="G13" s="21" t="n">
        <f>4591763554404.0</f>
        <v>4.591763554404E12</v>
      </c>
      <c r="H13" s="22" t="n">
        <f>179688350629.0</f>
        <v>1.79688350629E11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557797.0</f>
        <v>557797.0</v>
      </c>
      <c r="E14" s="22" t="n">
        <f>35308.0</f>
        <v>35308.0</v>
      </c>
      <c r="F14" s="23" t="n">
        <f>1.0</f>
        <v>1.0</v>
      </c>
      <c r="G14" s="21" t="n">
        <f>6596723418868.0</f>
        <v>6.596723418868E12</v>
      </c>
      <c r="H14" s="22" t="n">
        <f>1080331856643.0</f>
        <v>1.080331856643E12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1872151.0</f>
        <v>1872151.0</v>
      </c>
      <c r="E15" s="26" t="n">
        <f>84271.0</f>
        <v>84271.0</v>
      </c>
      <c r="F15" s="27" t="n">
        <f>1.0</f>
        <v>1.0</v>
      </c>
      <c r="G15" s="25" t="n">
        <f>16135545494107.0</f>
        <v>1.6135545494107E13</v>
      </c>
      <c r="H15" s="26" t="n">
        <f>1536834237232.0</f>
        <v>1.536834237232E12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11536.0</f>
        <v>11536.0</v>
      </c>
      <c r="E16" s="18" t="n">
        <f>25.0</f>
        <v>25.0</v>
      </c>
      <c r="F16" s="19" t="n">
        <f>0.014</f>
        <v>0.014</v>
      </c>
      <c r="G16" s="17" t="n">
        <f>1369520783125.0</f>
        <v>1.369520783125E12</v>
      </c>
      <c r="H16" s="18" t="n">
        <f>3143325000.0</f>
        <v>3.143325E9</v>
      </c>
      <c r="I16" s="19" t="n">
        <f>0.277</f>
        <v>0.277</v>
      </c>
    </row>
    <row r="17" spans="1:9" ht="24.9" customHeight="1">
      <c r="A17" s="41"/>
      <c r="B17" s="39"/>
      <c r="C17" s="20" t="s">
        <v>16</v>
      </c>
      <c r="D17" s="21" t="n">
        <f>12634.0</f>
        <v>12634.0</v>
      </c>
      <c r="E17" s="22" t="n">
        <f>232.0</f>
        <v>232.0</v>
      </c>
      <c r="F17" s="23" t="n">
        <f>0.025</f>
        <v>0.025</v>
      </c>
      <c r="G17" s="21" t="n">
        <f>1559265297625.0</f>
        <v>1.559265297625E12</v>
      </c>
      <c r="H17" s="22" t="n">
        <f>29145305000.0</f>
        <v>2.9145305E10</v>
      </c>
      <c r="I17" s="23" t="n">
        <f>0.34</f>
        <v>0.34</v>
      </c>
    </row>
    <row r="18" spans="1:9" ht="24.9" customHeight="1">
      <c r="A18" s="41"/>
      <c r="B18" s="39"/>
      <c r="C18" s="20" t="s">
        <v>17</v>
      </c>
      <c r="D18" s="21" t="n">
        <f>21280.0</f>
        <v>21280.0</v>
      </c>
      <c r="E18" s="22" t="n">
        <f>3511.0</f>
        <v>3511.0</v>
      </c>
      <c r="F18" s="23" t="n">
        <f>0.038</f>
        <v>0.038</v>
      </c>
      <c r="G18" s="21" t="n">
        <f>2567366247625.0</f>
        <v>2.567366247625E12</v>
      </c>
      <c r="H18" s="22" t="n">
        <f>390894865000.0</f>
        <v>3.90894865E11</v>
      </c>
      <c r="I18" s="23" t="n">
        <f>0.389</f>
        <v>0.389</v>
      </c>
    </row>
    <row r="19" spans="1:9" ht="24.9" customHeight="1">
      <c r="A19" s="41"/>
      <c r="B19" s="39"/>
      <c r="C19" s="24" t="s">
        <v>18</v>
      </c>
      <c r="D19" s="25" t="n">
        <f>45450.0</f>
        <v>45450.0</v>
      </c>
      <c r="E19" s="26" t="n">
        <f>3768.0</f>
        <v>3768.0</v>
      </c>
      <c r="F19" s="27" t="n">
        <f>0.024</f>
        <v>0.024</v>
      </c>
      <c r="G19" s="25" t="n">
        <f>5496152328375.0</f>
        <v>5.496152328375E12</v>
      </c>
      <c r="H19" s="26" t="n">
        <f>423183495000.0</f>
        <v>4.23183495E11</v>
      </c>
      <c r="I19" s="27" t="n">
        <f>0.341</f>
        <v>0.341</v>
      </c>
    </row>
    <row r="20" spans="1:9" ht="24.9" customHeight="1">
      <c r="A20" s="41"/>
      <c r="B20" s="39" t="s">
        <v>21</v>
      </c>
      <c r="C20" s="16" t="s">
        <v>15</v>
      </c>
      <c r="D20" s="17" t="n">
        <f>782621.0</f>
        <v>782621.0</v>
      </c>
      <c r="E20" s="18" t="n">
        <f>30748.0</f>
        <v>30748.0</v>
      </c>
      <c r="F20" s="19" t="n">
        <f>0.963</f>
        <v>0.963</v>
      </c>
      <c r="G20" s="17" t="n">
        <f>3488105253660.0</f>
        <v>3.48810525366E12</v>
      </c>
      <c r="H20" s="18" t="n">
        <f>273458664960.0</f>
        <v>2.7345866496E11</v>
      </c>
      <c r="I20" s="19" t="n">
        <f>0.705</f>
        <v>0.705</v>
      </c>
    </row>
    <row r="21" spans="1:9" ht="24.9" customHeight="1">
      <c r="A21" s="41"/>
      <c r="B21" s="39"/>
      <c r="C21" s="20" t="s">
        <v>16</v>
      </c>
      <c r="D21" s="21" t="n">
        <f>482907.0</f>
        <v>482907.0</v>
      </c>
      <c r="E21" s="22" t="n">
        <f>17858.0</f>
        <v>17858.0</v>
      </c>
      <c r="F21" s="23" t="n">
        <f>0.963</f>
        <v>0.963</v>
      </c>
      <c r="G21" s="21" t="n">
        <f>2958722281579.0</f>
        <v>2.958722281579E12</v>
      </c>
      <c r="H21" s="22" t="n">
        <f>150543045629.0</f>
        <v>1.50543045629E11</v>
      </c>
      <c r="I21" s="23" t="n">
        <f>0.644</f>
        <v>0.644</v>
      </c>
    </row>
    <row r="22" spans="1:9" ht="24.9" customHeight="1">
      <c r="A22" s="41"/>
      <c r="B22" s="39"/>
      <c r="C22" s="20" t="s">
        <v>17</v>
      </c>
      <c r="D22" s="21" t="n">
        <f>529027.0</f>
        <v>529027.0</v>
      </c>
      <c r="E22" s="22" t="n">
        <f>31777.0</f>
        <v>31777.0</v>
      </c>
      <c r="F22" s="23" t="n">
        <f>0.948</f>
        <v>0.948</v>
      </c>
      <c r="G22" s="21" t="n">
        <f>3959436919893.0</f>
        <v>3.959436919893E12</v>
      </c>
      <c r="H22" s="22" t="n">
        <f>689407543643.0</f>
        <v>6.89407543643E11</v>
      </c>
      <c r="I22" s="23" t="n">
        <f>0.6</f>
        <v>0.6</v>
      </c>
    </row>
    <row r="23" spans="1:9" ht="24.9" customHeight="1">
      <c r="A23" s="41"/>
      <c r="B23" s="39"/>
      <c r="C23" s="24" t="s">
        <v>18</v>
      </c>
      <c r="D23" s="25" t="n">
        <f>1794555.0</f>
        <v>1794555.0</v>
      </c>
      <c r="E23" s="26" t="n">
        <f>80383.0</f>
        <v>80383.0</v>
      </c>
      <c r="F23" s="27" t="n">
        <f>0.959</f>
        <v>0.959</v>
      </c>
      <c r="G23" s="25" t="n">
        <f>10406264455132.0</f>
        <v>1.0406264455132E13</v>
      </c>
      <c r="H23" s="26" t="n">
        <f>1113409254232.0</f>
        <v>1.113409254232E12</v>
      </c>
      <c r="I23" s="27" t="n">
        <f>0.645</f>
        <v>0.645</v>
      </c>
    </row>
    <row r="24" spans="1:9" ht="24.9" customHeight="1">
      <c r="A24" s="41"/>
      <c r="B24" s="39" t="s">
        <v>22</v>
      </c>
      <c r="C24" s="16" t="s">
        <v>15</v>
      </c>
      <c r="D24" s="17" t="n">
        <f>18231.0</f>
        <v>18231.0</v>
      </c>
      <c r="E24" s="18" t="n">
        <f>0.0</f>
        <v>0.0</v>
      </c>
      <c r="F24" s="19" t="n">
        <f>0.022</f>
        <v>0.022</v>
      </c>
      <c r="G24" s="17" t="n">
        <f>86843935050.0</f>
        <v>8.684393505E10</v>
      </c>
      <c r="H24" s="18" t="n">
        <f>0.0</f>
        <v>0.0</v>
      </c>
      <c r="I24" s="19" t="n">
        <f>0.018</f>
        <v>0.018</v>
      </c>
    </row>
    <row r="25" spans="1:9" ht="24.9" customHeight="1">
      <c r="A25" s="41"/>
      <c r="B25" s="39"/>
      <c r="C25" s="20" t="s">
        <v>16</v>
      </c>
      <c r="D25" s="21" t="n">
        <f>5722.0</f>
        <v>5722.0</v>
      </c>
      <c r="E25" s="22" t="n">
        <f>0.0</f>
        <v>0.0</v>
      </c>
      <c r="F25" s="23" t="n">
        <f>0.011</f>
        <v>0.011</v>
      </c>
      <c r="G25" s="21" t="n">
        <f>73204992700.0</f>
        <v>7.32049927E10</v>
      </c>
      <c r="H25" s="22" t="n">
        <f>0.0</f>
        <v>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5973.0</f>
        <v>5973.0</v>
      </c>
      <c r="E26" s="22" t="n">
        <f>0.0</f>
        <v>0.0</v>
      </c>
      <c r="F26" s="23" t="n">
        <f>0.011</f>
        <v>0.011</v>
      </c>
      <c r="G26" s="21" t="n">
        <f>62554974850.0</f>
        <v>6.255497485E10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29926.0</f>
        <v>29926.0</v>
      </c>
      <c r="E27" s="26" t="n">
        <f>0.0</f>
        <v>0.0</v>
      </c>
      <c r="F27" s="27" t="n">
        <f>0.016</f>
        <v>0.016</v>
      </c>
      <c r="G27" s="25" t="n">
        <f>222603902600.0</f>
        <v>2.226039026E11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586.0</f>
        <v>586.0</v>
      </c>
      <c r="E28" s="18" t="n">
        <f>100.0</f>
        <v>100.0</v>
      </c>
      <c r="F28" s="19" t="n">
        <f>0.001</f>
        <v>0.001</v>
      </c>
      <c r="G28" s="17" t="n">
        <f>2588549000.0</f>
        <v>2.588549E9</v>
      </c>
      <c r="H28" s="18" t="n">
        <f>212040000.0</f>
        <v>2.1204E8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117.0</f>
        <v>117.0</v>
      </c>
      <c r="E29" s="22" t="n">
        <f>0.0</f>
        <v>0.0</v>
      </c>
      <c r="F29" s="23" t="n">
        <f>0.0</f>
        <v>0.0</v>
      </c>
      <c r="G29" s="21" t="n">
        <f>570982500.0</f>
        <v>5.709825E8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1517.0</f>
        <v>1517.0</v>
      </c>
      <c r="E30" s="22" t="n">
        <f>20.0</f>
        <v>20.0</v>
      </c>
      <c r="F30" s="23" t="n">
        <f>0.003</f>
        <v>0.003</v>
      </c>
      <c r="G30" s="21" t="n">
        <f>7365276500.0</f>
        <v>7.3652765E9</v>
      </c>
      <c r="H30" s="22" t="n">
        <f>29448000.0</f>
        <v>2.9448E7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2220.0</f>
        <v>2220.0</v>
      </c>
      <c r="E31" s="26" t="n">
        <f>120.0</f>
        <v>120.0</v>
      </c>
      <c r="F31" s="27" t="n">
        <f>0.001</f>
        <v>0.001</v>
      </c>
      <c r="G31" s="25" t="n">
        <f>10524808000.0</f>
        <v>1.0524808E10</v>
      </c>
      <c r="H31" s="26" t="n">
        <f>241488000.0</f>
        <v>2.41488E8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46315.0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46315.0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13577</f>
        <v>13577.0</v>
      </c>
      <c r="E11" s="18" t="n">
        <f>2625</f>
        <v>2625.0</v>
      </c>
      <c r="F11" s="19" t="n">
        <f>1</f>
        <v>1.0</v>
      </c>
      <c r="G11" s="17" t="n">
        <f>2508016440</f>
        <v>2.50801644E9</v>
      </c>
      <c r="H11" s="18" t="n">
        <f>1468163040</f>
        <v>1.46816304E9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19467</f>
        <v>19467.0</v>
      </c>
      <c r="E12" s="22" t="n">
        <f>2596</f>
        <v>2596.0</v>
      </c>
      <c r="F12" s="23" t="n">
        <f>1</f>
        <v>1.0</v>
      </c>
      <c r="G12" s="21" t="n">
        <f>4653390080</f>
        <v>4.65339008E9</v>
      </c>
      <c r="H12" s="22" t="n">
        <f>2351647010</f>
        <v>2.35164701E9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39062</f>
        <v>39062.0</v>
      </c>
      <c r="E13" s="22" t="n">
        <f>17598</f>
        <v>17598.0</v>
      </c>
      <c r="F13" s="23" t="n">
        <f>1</f>
        <v>1.0</v>
      </c>
      <c r="G13" s="21" t="n">
        <f>22604021526</f>
        <v>2.2604021526E10</v>
      </c>
      <c r="H13" s="22" t="n">
        <f>18920959061</f>
        <v>1.8920959061E10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72106</f>
        <v>72106.0</v>
      </c>
      <c r="E14" s="26" t="n">
        <f>22819</f>
        <v>22819.0</v>
      </c>
      <c r="F14" s="27" t="n">
        <f>1</f>
        <v>1.0</v>
      </c>
      <c r="G14" s="25" t="n">
        <f>29765428046</f>
        <v>2.9765428046E10</v>
      </c>
      <c r="H14" s="26" t="n">
        <f>22740769111</f>
        <v>2.2740769111E10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81</f>
        <v>81.0</v>
      </c>
      <c r="E16" s="22" t="n">
        <f>25</f>
        <v>25.0</v>
      </c>
      <c r="F16" s="23" t="n">
        <f>0.004</f>
        <v>0.004</v>
      </c>
      <c r="G16" s="21" t="n">
        <f>19350000</f>
        <v>1.935E7</v>
      </c>
      <c r="H16" s="22" t="n">
        <f>5500000</f>
        <v>5500000.0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387</f>
        <v>387.0</v>
      </c>
      <c r="E17" s="22" t="n">
        <f>50</f>
        <v>50.0</v>
      </c>
      <c r="F17" s="23" t="n">
        <f>0.01</f>
        <v>0.01</v>
      </c>
      <c r="G17" s="21" t="n">
        <f>65570000</f>
        <v>6.557E7</v>
      </c>
      <c r="H17" s="22" t="n">
        <f>38500000</f>
        <v>3.85E7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468</f>
        <v>468.0</v>
      </c>
      <c r="E18" s="26" t="n">
        <f>75</f>
        <v>75.0</v>
      </c>
      <c r="F18" s="27" t="n">
        <f>0.006</f>
        <v>0.006</v>
      </c>
      <c r="G18" s="25" t="n">
        <f>84920000</f>
        <v>8.492E7</v>
      </c>
      <c r="H18" s="26" t="n">
        <f>44000000</f>
        <v>4.4E7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13577</f>
        <v>13577.0</v>
      </c>
      <c r="E19" s="18" t="n">
        <f>2625</f>
        <v>2625.0</v>
      </c>
      <c r="F19" s="19" t="n">
        <f>1</f>
        <v>1.0</v>
      </c>
      <c r="G19" s="17" t="n">
        <f>2508016440</f>
        <v>2.50801644E9</v>
      </c>
      <c r="H19" s="18" t="n">
        <f>1468163040</f>
        <v>1.46816304E9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17057</f>
        <v>17057.0</v>
      </c>
      <c r="E20" s="22" t="n">
        <f>2441</f>
        <v>2441.0</v>
      </c>
      <c r="F20" s="23" t="n">
        <f>0.876</f>
        <v>0.876</v>
      </c>
      <c r="G20" s="21" t="n">
        <f>4608094310</f>
        <v>4.60809431E9</v>
      </c>
      <c r="H20" s="22" t="n">
        <f>2345509810</f>
        <v>2.34550981E9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35830</f>
        <v>35830.0</v>
      </c>
      <c r="E21" s="22" t="n">
        <f>17548</f>
        <v>17548.0</v>
      </c>
      <c r="F21" s="23" t="n">
        <f>0.917</f>
        <v>0.917</v>
      </c>
      <c r="G21" s="21" t="n">
        <f>22481984661</f>
        <v>2.2481984661E10</v>
      </c>
      <c r="H21" s="22" t="n">
        <f>18882459061</f>
        <v>1.8882459061E10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66464</f>
        <v>66464.0</v>
      </c>
      <c r="E22" s="26" t="n">
        <f>22614</f>
        <v>22614.0</v>
      </c>
      <c r="F22" s="27" t="n">
        <f>0.922</f>
        <v>0.922</v>
      </c>
      <c r="G22" s="25" t="n">
        <f>29598095411</f>
        <v>2.9598095411E10</v>
      </c>
      <c r="H22" s="26" t="n">
        <f>22696131911</f>
        <v>2.2696131911E10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2329</f>
        <v>2329.0</v>
      </c>
      <c r="E24" s="22" t="n">
        <f>130</f>
        <v>130.0</v>
      </c>
      <c r="F24" s="23" t="n">
        <f>0.12</f>
        <v>0.12</v>
      </c>
      <c r="G24" s="21" t="n">
        <f>25945770</f>
        <v>2.594577E7</v>
      </c>
      <c r="H24" s="22" t="n">
        <f>637200</f>
        <v>637200.0</v>
      </c>
      <c r="I24" s="23" t="n">
        <f>0.006</f>
        <v>0.006</v>
      </c>
    </row>
    <row r="25" spans="1:9" ht="24.9" customHeight="1">
      <c r="A25" s="41"/>
      <c r="B25" s="39"/>
      <c r="C25" s="20" t="s">
        <v>17</v>
      </c>
      <c r="D25" s="21" t="n">
        <f>2845</f>
        <v>2845.0</v>
      </c>
      <c r="E25" s="22" t="n">
        <f>0</f>
        <v>0.0</v>
      </c>
      <c r="F25" s="23" t="n">
        <f>0.073</f>
        <v>0.073</v>
      </c>
      <c r="G25" s="21" t="n">
        <f>56466865</f>
        <v>5.6466865E7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5174</f>
        <v>5174.0</v>
      </c>
      <c r="E26" s="26" t="n">
        <f>130</f>
        <v>130.0</v>
      </c>
      <c r="F26" s="27" t="n">
        <f>0.072</f>
        <v>0.072</v>
      </c>
      <c r="G26" s="25" t="n">
        <f>82412635</f>
        <v>8.2412635E7</v>
      </c>
      <c r="H26" s="26" t="n">
        <f>637200</f>
        <v>637200.0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46315.0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46315.0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11831.0</v>
      </c>
      <c r="F12" s="18" t="n">
        <f>1277</f>
        <v>1277.0</v>
      </c>
      <c r="G12" s="17" t="n">
        <v>7.677213575E11</v>
      </c>
      <c r="H12" s="18" t="n">
        <f>82997607500</f>
        <v>8.29976075E10</v>
      </c>
    </row>
    <row r="13" spans="1:8" ht="24.9" customHeight="1">
      <c r="A13" s="51"/>
      <c r="B13" s="57"/>
      <c r="C13" s="39"/>
      <c r="D13" s="20" t="s">
        <v>16</v>
      </c>
      <c r="E13" s="21" t="n">
        <v>13050.0</v>
      </c>
      <c r="F13" s="22" t="n">
        <f>544</f>
        <v>544.0</v>
      </c>
      <c r="G13" s="21" t="n">
        <v>8.41210234409E11</v>
      </c>
      <c r="H13" s="22" t="n">
        <f>35147184409</f>
        <v>3.5147184409E10</v>
      </c>
    </row>
    <row r="14" spans="1:8" ht="24.9" customHeight="1">
      <c r="A14" s="51"/>
      <c r="B14" s="57"/>
      <c r="C14" s="39"/>
      <c r="D14" s="20" t="s">
        <v>17</v>
      </c>
      <c r="E14" s="21" t="n">
        <v>18201.0</v>
      </c>
      <c r="F14" s="22" t="n">
        <f>5632</f>
        <v>5632.0</v>
      </c>
      <c r="G14" s="21" t="n">
        <v>1.170130988416E12</v>
      </c>
      <c r="H14" s="22" t="n">
        <f>362080398416</f>
        <v>3.62080398416E11</v>
      </c>
    </row>
    <row r="15" spans="1:8" ht="24.9" customHeight="1">
      <c r="A15" s="51"/>
      <c r="B15" s="57"/>
      <c r="C15" s="39"/>
      <c r="D15" s="24" t="s">
        <v>18</v>
      </c>
      <c r="E15" s="25" t="n">
        <v>43082.0</v>
      </c>
      <c r="F15" s="26" t="n">
        <f>7453</f>
        <v>7453.0</v>
      </c>
      <c r="G15" s="25" t="n">
        <v>2.779062580325E12</v>
      </c>
      <c r="H15" s="26" t="n">
        <f>480225190325</f>
        <v>4.80225190325E11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283137.0</v>
      </c>
      <c r="F16" s="18" t="n">
        <f>29049</f>
        <v>29049.0</v>
      </c>
      <c r="G16" s="17" t="n">
        <v>1.83646857177E12</v>
      </c>
      <c r="H16" s="18" t="n">
        <f>188430708270</f>
        <v>1.8843070827E11</v>
      </c>
    </row>
    <row r="17" spans="1:8" ht="24.9" customHeight="1">
      <c r="A17" s="51"/>
      <c r="B17" s="57"/>
      <c r="C17" s="39"/>
      <c r="D17" s="20" t="s">
        <v>16</v>
      </c>
      <c r="E17" s="21" t="n">
        <v>204086.0</v>
      </c>
      <c r="F17" s="22" t="n">
        <f>16869</f>
        <v>16869.0</v>
      </c>
      <c r="G17" s="21" t="n">
        <v>1.31522966638E12</v>
      </c>
      <c r="H17" s="22" t="n">
        <f>108688434880</f>
        <v>1.0868843488E11</v>
      </c>
    </row>
    <row r="18" spans="1:8" ht="24.9" customHeight="1">
      <c r="A18" s="51"/>
      <c r="B18" s="57"/>
      <c r="C18" s="39"/>
      <c r="D18" s="20" t="s">
        <v>17</v>
      </c>
      <c r="E18" s="21" t="n">
        <v>218989.0</v>
      </c>
      <c r="F18" s="22" t="n">
        <f>19541</f>
        <v>19541.0</v>
      </c>
      <c r="G18" s="21" t="n">
        <v>1.408454706584E12</v>
      </c>
      <c r="H18" s="22" t="n">
        <f>125694245584</f>
        <v>1.25694245584E11</v>
      </c>
    </row>
    <row r="19" spans="1:8" ht="24.9" customHeight="1">
      <c r="A19" s="51"/>
      <c r="B19" s="57"/>
      <c r="C19" s="39"/>
      <c r="D19" s="24" t="s">
        <v>18</v>
      </c>
      <c r="E19" s="25" t="n">
        <v>706212.0</v>
      </c>
      <c r="F19" s="26" t="n">
        <f>65459</f>
        <v>65459.0</v>
      </c>
      <c r="G19" s="25" t="n">
        <v>4.560152944734E12</v>
      </c>
      <c r="H19" s="26" t="n">
        <f>422813388734</f>
        <v>4.22813388734E11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464013.0</v>
      </c>
      <c r="F20" s="18" t="str">
        <f>"－"</f>
        <v>－</v>
      </c>
      <c r="G20" s="17" t="n">
        <v>3.0098289955E11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240749.0</v>
      </c>
      <c r="F21" s="22" t="str">
        <f>"－"</f>
        <v>－</v>
      </c>
      <c r="G21" s="21" t="n">
        <v>1.5513942185E11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249296.0</v>
      </c>
      <c r="F22" s="22" t="str">
        <f>"－"</f>
        <v>－</v>
      </c>
      <c r="G22" s="21" t="n">
        <v>1.6037345585E11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954058.0</v>
      </c>
      <c r="F23" s="26" t="str">
        <f>"－"</f>
        <v>－</v>
      </c>
      <c r="G23" s="25" t="n">
        <v>6.1649577725E11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13559.0</v>
      </c>
      <c r="F24" s="18" t="n">
        <f>12</f>
        <v>12.0</v>
      </c>
      <c r="G24" s="17" t="n">
        <v>5.50809278E11</v>
      </c>
      <c r="H24" s="18" t="n">
        <f>487448000</f>
        <v>4.87448E8</v>
      </c>
    </row>
    <row r="25" spans="1:8" ht="24.9" customHeight="1">
      <c r="A25" s="51"/>
      <c r="B25" s="57"/>
      <c r="C25" s="39"/>
      <c r="D25" s="20" t="s">
        <v>16</v>
      </c>
      <c r="E25" s="21" t="n">
        <v>15195.0</v>
      </c>
      <c r="F25" s="22" t="n">
        <f>134</f>
        <v>134.0</v>
      </c>
      <c r="G25" s="21" t="n">
        <v>6.143405505E11</v>
      </c>
      <c r="H25" s="22" t="n">
        <f>5426800500</f>
        <v>5.4268005E9</v>
      </c>
    </row>
    <row r="26" spans="1:8" ht="24.9" customHeight="1">
      <c r="A26" s="51"/>
      <c r="B26" s="57"/>
      <c r="C26" s="39"/>
      <c r="D26" s="20" t="s">
        <v>17</v>
      </c>
      <c r="E26" s="21" t="n">
        <v>29274.0</v>
      </c>
      <c r="F26" s="22" t="n">
        <f>4926</f>
        <v>4926.0</v>
      </c>
      <c r="G26" s="21" t="n">
        <v>1.177441892863E12</v>
      </c>
      <c r="H26" s="22" t="n">
        <f>198252697863</f>
        <v>1.98252697863E11</v>
      </c>
    </row>
    <row r="27" spans="1:8" ht="24.9" customHeight="1">
      <c r="A27" s="51"/>
      <c r="B27" s="57"/>
      <c r="C27" s="39"/>
      <c r="D27" s="24" t="s">
        <v>18</v>
      </c>
      <c r="E27" s="25" t="n">
        <v>58028.0</v>
      </c>
      <c r="F27" s="26" t="n">
        <f>5072</f>
        <v>5072.0</v>
      </c>
      <c r="G27" s="25" t="n">
        <v>2.342591721363E12</v>
      </c>
      <c r="H27" s="26" t="n">
        <f>204166946363</f>
        <v>2.04166946363E11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6048.0</v>
      </c>
      <c r="F28" s="18" t="n">
        <f>351</f>
        <v>351.0</v>
      </c>
      <c r="G28" s="17" t="n">
        <v>2.457209325E10</v>
      </c>
      <c r="H28" s="18" t="n">
        <f>1426134500</f>
        <v>1.4261345E9</v>
      </c>
    </row>
    <row r="29" spans="1:8" ht="24.9" customHeight="1">
      <c r="A29" s="51"/>
      <c r="B29" s="57"/>
      <c r="C29" s="39"/>
      <c r="D29" s="20" t="s">
        <v>16</v>
      </c>
      <c r="E29" s="21" t="n">
        <v>6617.0</v>
      </c>
      <c r="F29" s="22" t="n">
        <f>245</f>
        <v>245.0</v>
      </c>
      <c r="G29" s="21" t="n">
        <v>2.676692975E10</v>
      </c>
      <c r="H29" s="22" t="n">
        <f>990950250</f>
        <v>9.9095025E8</v>
      </c>
    </row>
    <row r="30" spans="1:8" ht="24.9" customHeight="1">
      <c r="A30" s="51"/>
      <c r="B30" s="57"/>
      <c r="C30" s="39"/>
      <c r="D30" s="20" t="s">
        <v>17</v>
      </c>
      <c r="E30" s="21" t="n">
        <v>8395.0</v>
      </c>
      <c r="F30" s="22" t="n">
        <f>322</f>
        <v>322.0</v>
      </c>
      <c r="G30" s="21" t="n">
        <v>3.376298335E10</v>
      </c>
      <c r="H30" s="22" t="n">
        <f>1295220350</f>
        <v>1.29522035E9</v>
      </c>
    </row>
    <row r="31" spans="1:8" ht="24.9" customHeight="1">
      <c r="A31" s="51"/>
      <c r="B31" s="57"/>
      <c r="C31" s="39"/>
      <c r="D31" s="24" t="s">
        <v>18</v>
      </c>
      <c r="E31" s="25" t="n">
        <v>21060.0</v>
      </c>
      <c r="F31" s="26" t="n">
        <f>918</f>
        <v>918.0</v>
      </c>
      <c r="G31" s="25" t="n">
        <v>8.510200635E10</v>
      </c>
      <c r="H31" s="26" t="n">
        <f>3712305100</f>
        <v>3.7123051E9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532.0</v>
      </c>
      <c r="F36" s="18" t="n">
        <f>0</f>
        <v>0.0</v>
      </c>
      <c r="G36" s="17" t="n">
        <v>1.9546585E9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902.0</v>
      </c>
      <c r="F37" s="22" t="n">
        <f>7</f>
        <v>7.0</v>
      </c>
      <c r="G37" s="21" t="n">
        <v>3.304472E9</v>
      </c>
      <c r="H37" s="22" t="n">
        <f>25774000</f>
        <v>2.5774E7</v>
      </c>
    </row>
    <row r="38" spans="1:8" ht="24.9" customHeight="1">
      <c r="A38" s="51"/>
      <c r="B38" s="57"/>
      <c r="C38" s="39"/>
      <c r="D38" s="20" t="s">
        <v>17</v>
      </c>
      <c r="E38" s="21" t="n">
        <v>1185.0</v>
      </c>
      <c r="F38" s="22" t="n">
        <f>7</f>
        <v>7.0</v>
      </c>
      <c r="G38" s="21" t="n">
        <v>4.31495278E9</v>
      </c>
      <c r="H38" s="22" t="n">
        <f>25564280</f>
        <v>2.556428E7</v>
      </c>
    </row>
    <row r="39" spans="1:8" ht="24.9" customHeight="1">
      <c r="A39" s="51"/>
      <c r="B39" s="57"/>
      <c r="C39" s="39"/>
      <c r="D39" s="24" t="s">
        <v>18</v>
      </c>
      <c r="E39" s="25" t="n">
        <v>2619.0</v>
      </c>
      <c r="F39" s="26" t="n">
        <f>14</f>
        <v>14.0</v>
      </c>
      <c r="G39" s="25" t="n">
        <v>9.57408328E9</v>
      </c>
      <c r="H39" s="26" t="n">
        <f>51338280</f>
        <v>5.133828E7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33.0</v>
      </c>
      <c r="F45" s="22" t="n">
        <f>33</f>
        <v>33.0</v>
      </c>
      <c r="G45" s="21" t="n">
        <v>2.3542068E8</v>
      </c>
      <c r="H45" s="22" t="n">
        <f>235420680</f>
        <v>2.3542068E8</v>
      </c>
    </row>
    <row r="46" spans="1:8" ht="24.9" customHeight="1">
      <c r="A46" s="51"/>
      <c r="B46" s="57"/>
      <c r="C46" s="39"/>
      <c r="D46" s="20" t="s">
        <v>17</v>
      </c>
      <c r="E46" s="21" t="n">
        <v>100.0</v>
      </c>
      <c r="F46" s="22" t="n">
        <f>100</f>
        <v>100.0</v>
      </c>
      <c r="G46" s="21" t="n">
        <v>7.0156867E8</v>
      </c>
      <c r="H46" s="22" t="n">
        <f>701568670</f>
        <v>7.0156867E8</v>
      </c>
    </row>
    <row r="47" spans="1:8" ht="24.9" customHeight="1">
      <c r="A47" s="51"/>
      <c r="B47" s="57"/>
      <c r="C47" s="39"/>
      <c r="D47" s="24" t="s">
        <v>18</v>
      </c>
      <c r="E47" s="25" t="n">
        <v>133.0</v>
      </c>
      <c r="F47" s="26" t="n">
        <f>133</f>
        <v>133.0</v>
      </c>
      <c r="G47" s="25" t="n">
        <v>9.3698935E8</v>
      </c>
      <c r="H47" s="26" t="n">
        <f>936989350</f>
        <v>9.3698935E8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46.0</v>
      </c>
      <c r="F48" s="18" t="n">
        <f>46</f>
        <v>46.0</v>
      </c>
      <c r="G48" s="17" t="n">
        <v>7.56623E7</v>
      </c>
      <c r="H48" s="18" t="n">
        <f>75662300</f>
        <v>7.56623E7</v>
      </c>
    </row>
    <row r="49" spans="1:8" ht="24.9" customHeight="1">
      <c r="A49" s="51"/>
      <c r="B49" s="57"/>
      <c r="C49" s="39"/>
      <c r="D49" s="20" t="s">
        <v>16</v>
      </c>
      <c r="E49" s="21" t="n">
        <v>32.0</v>
      </c>
      <c r="F49" s="22" t="n">
        <f>0</f>
        <v>0.0</v>
      </c>
      <c r="G49" s="21" t="n">
        <v>5.25895E7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532.0</v>
      </c>
      <c r="F50" s="22" t="n">
        <f>473</f>
        <v>473.0</v>
      </c>
      <c r="G50" s="21" t="n">
        <v>8.7137242E8</v>
      </c>
      <c r="H50" s="22" t="n">
        <f>774603920</f>
        <v>7.7460392E8</v>
      </c>
    </row>
    <row r="51" spans="1:8" ht="24.9" customHeight="1">
      <c r="A51" s="51"/>
      <c r="B51" s="57"/>
      <c r="C51" s="39"/>
      <c r="D51" s="24" t="s">
        <v>18</v>
      </c>
      <c r="E51" s="25" t="n">
        <v>610.0</v>
      </c>
      <c r="F51" s="26" t="n">
        <f>519</f>
        <v>519.0</v>
      </c>
      <c r="G51" s="25" t="n">
        <v>9.9962422E8</v>
      </c>
      <c r="H51" s="26" t="n">
        <f>850266220</f>
        <v>8.5026622E8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485.0</v>
      </c>
      <c r="F56" s="18" t="n">
        <f>6</f>
        <v>6.0</v>
      </c>
      <c r="G56" s="17" t="n">
        <v>3.673862E8</v>
      </c>
      <c r="H56" s="18" t="n">
        <f>4549200</f>
        <v>4549200.0</v>
      </c>
    </row>
    <row r="57" spans="1:8" ht="24.9" customHeight="1">
      <c r="A57" s="51"/>
      <c r="B57" s="57"/>
      <c r="C57" s="39"/>
      <c r="D57" s="20" t="s">
        <v>16</v>
      </c>
      <c r="E57" s="21" t="n">
        <v>1420.0</v>
      </c>
      <c r="F57" s="22" t="n">
        <f>24</f>
        <v>24.0</v>
      </c>
      <c r="G57" s="21" t="n">
        <v>1.0681826E9</v>
      </c>
      <c r="H57" s="22" t="n">
        <f>18032600</f>
        <v>1.80326E7</v>
      </c>
    </row>
    <row r="58" spans="1:8" ht="24.9" customHeight="1">
      <c r="A58" s="51"/>
      <c r="B58" s="57"/>
      <c r="C58" s="39"/>
      <c r="D58" s="20" t="s">
        <v>17</v>
      </c>
      <c r="E58" s="21" t="n">
        <v>1870.0</v>
      </c>
      <c r="F58" s="22" t="n">
        <f>775</f>
        <v>775.0</v>
      </c>
      <c r="G58" s="21" t="n">
        <v>1.38911286E9</v>
      </c>
      <c r="H58" s="22" t="n">
        <f>578018860</f>
        <v>5.7801886E8</v>
      </c>
    </row>
    <row r="59" spans="1:8" ht="24.9" customHeight="1">
      <c r="A59" s="51"/>
      <c r="B59" s="57"/>
      <c r="C59" s="39"/>
      <c r="D59" s="24" t="s">
        <v>18</v>
      </c>
      <c r="E59" s="25" t="n">
        <v>3775.0</v>
      </c>
      <c r="F59" s="26" t="n">
        <f>805</f>
        <v>805.0</v>
      </c>
      <c r="G59" s="25" t="n">
        <v>2.82468166E9</v>
      </c>
      <c r="H59" s="26" t="n">
        <f>600600660</f>
        <v>6.0060066E8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131.0</v>
      </c>
      <c r="F60" s="18" t="n">
        <f>7</f>
        <v>7.0</v>
      </c>
      <c r="G60" s="17" t="n">
        <v>6.8418989E8</v>
      </c>
      <c r="H60" s="18" t="n">
        <f>36555190</f>
        <v>3.655519E7</v>
      </c>
    </row>
    <row r="61" spans="1:8" ht="24.9" customHeight="1">
      <c r="A61" s="51"/>
      <c r="B61" s="57"/>
      <c r="C61" s="39"/>
      <c r="D61" s="20" t="s">
        <v>16</v>
      </c>
      <c r="E61" s="21" t="n">
        <v>25.0</v>
      </c>
      <c r="F61" s="22" t="n">
        <f>2</f>
        <v>2.0</v>
      </c>
      <c r="G61" s="21" t="n">
        <v>1.3071091E8</v>
      </c>
      <c r="H61" s="22" t="n">
        <f>10448310</f>
        <v>1.044831E7</v>
      </c>
    </row>
    <row r="62" spans="1:8" ht="24.9" customHeight="1">
      <c r="A62" s="51"/>
      <c r="B62" s="57"/>
      <c r="C62" s="39"/>
      <c r="D62" s="20" t="s">
        <v>17</v>
      </c>
      <c r="E62" s="21" t="n">
        <v>37.0</v>
      </c>
      <c r="F62" s="22" t="n">
        <f>1</f>
        <v>1.0</v>
      </c>
      <c r="G62" s="21" t="n">
        <v>1.937058E8</v>
      </c>
      <c r="H62" s="22" t="n">
        <f>5225700</f>
        <v>5225700.0</v>
      </c>
    </row>
    <row r="63" spans="1:8" ht="24.9" customHeight="1">
      <c r="A63" s="51"/>
      <c r="B63" s="57"/>
      <c r="C63" s="39"/>
      <c r="D63" s="24" t="s">
        <v>18</v>
      </c>
      <c r="E63" s="25" t="n">
        <v>193.0</v>
      </c>
      <c r="F63" s="26" t="n">
        <f>10</f>
        <v>10.0</v>
      </c>
      <c r="G63" s="25" t="n">
        <v>1.0086066E9</v>
      </c>
      <c r="H63" s="26" t="n">
        <f>52229200</f>
        <v>5.22292E7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10.0</v>
      </c>
      <c r="F73" s="22" t="n">
        <f>0</f>
        <v>0.0</v>
      </c>
      <c r="G73" s="21" t="n">
        <v>1.385E7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10.0</v>
      </c>
      <c r="F75" s="26" t="n">
        <f>0</f>
        <v>0.0</v>
      </c>
      <c r="G75" s="25" t="n">
        <v>1.385E7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329500.0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11.0</v>
      </c>
      <c r="F77" s="22" t="n">
        <f>0</f>
        <v>0.0</v>
      </c>
      <c r="G77" s="21" t="n">
        <v>3601000.0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1982000.0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18.0</v>
      </c>
      <c r="F79" s="26" t="n">
        <f>0</f>
        <v>0.0</v>
      </c>
      <c r="G79" s="25" t="n">
        <v>5912500.0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2838.0</v>
      </c>
      <c r="F92" s="18" t="n">
        <f>0</f>
        <v>0.0</v>
      </c>
      <c r="G92" s="17" t="n">
        <v>4.4688272E9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777.0</v>
      </c>
      <c r="F93" s="22" t="n">
        <f>0</f>
        <v>0.0</v>
      </c>
      <c r="G93" s="21" t="n">
        <v>1.226652E9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1141.0</v>
      </c>
      <c r="F94" s="22" t="n">
        <f>0</f>
        <v>0.0</v>
      </c>
      <c r="G94" s="21" t="n">
        <v>1.7978313E9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4756.0</v>
      </c>
      <c r="F95" s="26" t="n">
        <f>0</f>
        <v>0.0</v>
      </c>
      <c r="G95" s="25" t="n">
        <v>7.4933105E9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1.0</v>
      </c>
      <c r="F98" s="22" t="n">
        <f>0</f>
        <v>0.0</v>
      </c>
      <c r="G98" s="21" t="n">
        <v>2367000.0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1.0</v>
      </c>
      <c r="F99" s="26" t="n">
        <f>0</f>
        <v>0.0</v>
      </c>
      <c r="G99" s="25" t="n">
        <v>2367000.0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10743.0</v>
      </c>
      <c r="F108" s="18" t="n">
        <f>25</f>
        <v>25.0</v>
      </c>
      <c r="G108" s="17" t="n">
        <v>1.350026535E12</v>
      </c>
      <c r="H108" s="18" t="n">
        <f>3143325000</f>
        <v>3.143325E9</v>
      </c>
    </row>
    <row r="109" spans="1:8" ht="24.9" customHeight="1">
      <c r="A109" s="51"/>
      <c r="B109" s="57"/>
      <c r="C109" s="39"/>
      <c r="D109" s="20" t="s">
        <v>16</v>
      </c>
      <c r="E109" s="21" t="n">
        <v>12389.0</v>
      </c>
      <c r="F109" s="22" t="n">
        <f>232</f>
        <v>232.0</v>
      </c>
      <c r="G109" s="21" t="n">
        <v>1.556176995E12</v>
      </c>
      <c r="H109" s="22" t="n">
        <f>29145305000</f>
        <v>2.9145305E10</v>
      </c>
    </row>
    <row r="110" spans="1:8" ht="24.9" customHeight="1">
      <c r="A110" s="51"/>
      <c r="B110" s="57"/>
      <c r="C110" s="39"/>
      <c r="D110" s="20" t="s">
        <v>17</v>
      </c>
      <c r="E110" s="21" t="n">
        <v>20265.0</v>
      </c>
      <c r="F110" s="22" t="n">
        <f>3077</f>
        <v>3077.0</v>
      </c>
      <c r="G110" s="21" t="n">
        <v>2.549233345E12</v>
      </c>
      <c r="H110" s="22" t="n">
        <f>386996985000</f>
        <v>3.86996985E11</v>
      </c>
    </row>
    <row r="111" spans="1:8" ht="24.9" customHeight="1">
      <c r="A111" s="51"/>
      <c r="B111" s="57"/>
      <c r="C111" s="39"/>
      <c r="D111" s="24" t="s">
        <v>18</v>
      </c>
      <c r="E111" s="25" t="n">
        <v>43397.0</v>
      </c>
      <c r="F111" s="26" t="n">
        <f>3334</f>
        <v>3334.0</v>
      </c>
      <c r="G111" s="25" t="n">
        <v>5.455436875E12</v>
      </c>
      <c r="H111" s="26" t="n">
        <f>419285615000</f>
        <v>4.19285615E11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244.0</v>
      </c>
      <c r="F113" s="22" t="n">
        <f>0</f>
        <v>0.0</v>
      </c>
      <c r="G113" s="21" t="n">
        <v>3.063722E9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5.0</v>
      </c>
      <c r="F114" s="22" t="n">
        <f>0</f>
        <v>0.0</v>
      </c>
      <c r="G114" s="21" t="n">
        <v>6.2907E7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249.0</v>
      </c>
      <c r="F115" s="26" t="n">
        <f>0</f>
        <v>0.0</v>
      </c>
      <c r="G115" s="25" t="n">
        <v>3.126629E9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434.0</v>
      </c>
      <c r="F118" s="22" t="n">
        <f>434</f>
        <v>434.0</v>
      </c>
      <c r="G118" s="21" t="n">
        <v>3.89788E9</v>
      </c>
      <c r="H118" s="22" t="n">
        <f>3897880000</f>
        <v>3.89788E9</v>
      </c>
    </row>
    <row r="119" spans="1:8" ht="24.9" customHeight="1">
      <c r="A119" s="51"/>
      <c r="B119" s="58"/>
      <c r="C119" s="39"/>
      <c r="D119" s="24" t="s">
        <v>18</v>
      </c>
      <c r="E119" s="25" t="n">
        <v>434.0</v>
      </c>
      <c r="F119" s="26" t="n">
        <f>434</f>
        <v>434.0</v>
      </c>
      <c r="G119" s="25" t="n">
        <v>3.89788E9</v>
      </c>
      <c r="H119" s="26" t="n">
        <f>3897880000</f>
        <v>3.89788E9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793.0</v>
      </c>
      <c r="F120" s="18" t="n">
        <f>0</f>
        <v>0.0</v>
      </c>
      <c r="G120" s="17" t="n">
        <v>1.9494248125E10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1.0</v>
      </c>
      <c r="F121" s="22" t="n">
        <f>0</f>
        <v>0.0</v>
      </c>
      <c r="G121" s="21" t="n">
        <v>2.4580625E7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576.0</v>
      </c>
      <c r="F122" s="22" t="n">
        <f>0</f>
        <v>0.0</v>
      </c>
      <c r="G122" s="21" t="n">
        <v>1.4172115625E10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1370.0</v>
      </c>
      <c r="F123" s="26" t="n">
        <f>0</f>
        <v>0.0</v>
      </c>
      <c r="G123" s="25" t="n">
        <v>3.3690944375E10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2929.0</v>
      </c>
      <c r="F124" s="18" t="n">
        <f>0</f>
        <v>0.0</v>
      </c>
      <c r="G124" s="17" t="n">
        <v>6.3413539E10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3137.0</v>
      </c>
      <c r="F125" s="22" t="n">
        <f>0</f>
        <v>0.0</v>
      </c>
      <c r="G125" s="21" t="n">
        <v>6.7493729E10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2545.0</v>
      </c>
      <c r="F126" s="22" t="n">
        <f>0</f>
        <v>0.0</v>
      </c>
      <c r="G126" s="21" t="n">
        <v>5.4733519E10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8611.0</v>
      </c>
      <c r="F127" s="26" t="n">
        <f>0</f>
        <v>0.0</v>
      </c>
      <c r="G127" s="25" t="n">
        <v>1.85640787E11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1967.0</v>
      </c>
      <c r="F128" s="18" t="n">
        <f>0</f>
        <v>0.0</v>
      </c>
      <c r="G128" s="17" t="n">
        <v>4.2158376E9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74.0</v>
      </c>
      <c r="F129" s="22" t="n">
        <f>0</f>
        <v>0.0</v>
      </c>
      <c r="G129" s="21" t="n">
        <v>1.57327E8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68.0</v>
      </c>
      <c r="F130" s="22" t="n">
        <f>0</f>
        <v>0.0</v>
      </c>
      <c r="G130" s="21" t="n">
        <v>1.4449E8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2109.0</v>
      </c>
      <c r="F131" s="26" t="n">
        <f>0</f>
        <v>0.0</v>
      </c>
      <c r="G131" s="25" t="n">
        <v>4.5176546E9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3168.0</v>
      </c>
      <c r="F132" s="18" t="n">
        <f>0</f>
        <v>0.0</v>
      </c>
      <c r="G132" s="17" t="n">
        <v>6.88262515E9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1575.0</v>
      </c>
      <c r="F133" s="22" t="n">
        <f>0</f>
        <v>0.0</v>
      </c>
      <c r="G133" s="21" t="n">
        <v>3.4009571E9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1439.0</v>
      </c>
      <c r="F134" s="22" t="n">
        <f>0</f>
        <v>0.0</v>
      </c>
      <c r="G134" s="21" t="n">
        <v>3.10379275E9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6182.0</v>
      </c>
      <c r="F135" s="26" t="n">
        <f>0</f>
        <v>0.0</v>
      </c>
      <c r="G135" s="25" t="n">
        <v>1.3387375E10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3.0</v>
      </c>
      <c r="F136" s="18" t="n">
        <f>0</f>
        <v>0.0</v>
      </c>
      <c r="G136" s="17" t="n">
        <v>6314900.0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14.0</v>
      </c>
      <c r="F137" s="22" t="n">
        <f>0</f>
        <v>0.0</v>
      </c>
      <c r="G137" s="21" t="n">
        <v>2.93955E7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21.0</v>
      </c>
      <c r="F138" s="22" t="n">
        <f>0</f>
        <v>0.0</v>
      </c>
      <c r="G138" s="21" t="n">
        <v>4.40087E7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38.0</v>
      </c>
      <c r="F139" s="26" t="n">
        <f>0</f>
        <v>0.0</v>
      </c>
      <c r="G139" s="25" t="n">
        <v>7.97191E7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1158.0</v>
      </c>
      <c r="F144" s="18" t="n">
        <f>0</f>
        <v>0.0</v>
      </c>
      <c r="G144" s="17" t="n">
        <v>4.7311195E9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386.0</v>
      </c>
      <c r="F145" s="22" t="n">
        <f>0</f>
        <v>0.0</v>
      </c>
      <c r="G145" s="21" t="n">
        <v>1.56716E9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840.0</v>
      </c>
      <c r="F146" s="22" t="n">
        <f>0</f>
        <v>0.0</v>
      </c>
      <c r="G146" s="21" t="n">
        <v>3.4274175E9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2384.0</v>
      </c>
      <c r="F147" s="26" t="n">
        <f>0</f>
        <v>0.0</v>
      </c>
      <c r="G147" s="25" t="n">
        <v>9.725697E9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8389.0</v>
      </c>
      <c r="F148" s="18" t="n">
        <f>0</f>
        <v>0.0</v>
      </c>
      <c r="G148" s="17" t="n">
        <v>7.0707988E9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147.0</v>
      </c>
      <c r="F149" s="22" t="n">
        <f>0</f>
        <v>0.0</v>
      </c>
      <c r="G149" s="21" t="n">
        <v>1.232215E8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232.0</v>
      </c>
      <c r="F150" s="22" t="n">
        <f>0</f>
        <v>0.0</v>
      </c>
      <c r="G150" s="21" t="n">
        <v>1.953154E8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8768.0</v>
      </c>
      <c r="F151" s="26" t="n">
        <f>0</f>
        <v>0.0</v>
      </c>
      <c r="G151" s="25" t="n">
        <v>7.3893357E9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519.0</v>
      </c>
      <c r="F152" s="18" t="n">
        <f>0</f>
        <v>0.0</v>
      </c>
      <c r="G152" s="17" t="n">
        <v>4.27042E8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259.0</v>
      </c>
      <c r="F153" s="22" t="n">
        <f>0</f>
        <v>0.0</v>
      </c>
      <c r="G153" s="21" t="n">
        <v>2.114257E8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539.0</v>
      </c>
      <c r="F154" s="22" t="n">
        <f>0</f>
        <v>0.0</v>
      </c>
      <c r="G154" s="21" t="n">
        <v>4.417871E8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1317.0</v>
      </c>
      <c r="F155" s="26" t="n">
        <f>0</f>
        <v>0.0</v>
      </c>
      <c r="G155" s="25" t="n">
        <v>1.0802548E9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87.0</v>
      </c>
      <c r="F156" s="18" t="n">
        <f>0</f>
        <v>0.0</v>
      </c>
      <c r="G156" s="17" t="n">
        <v>7.19226E7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50.0</v>
      </c>
      <c r="F157" s="22" t="n">
        <f>0</f>
        <v>0.0</v>
      </c>
      <c r="G157" s="21" t="n">
        <v>4.11024E7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131.0</v>
      </c>
      <c r="F158" s="22" t="n">
        <f>0</f>
        <v>0.0</v>
      </c>
      <c r="G158" s="21" t="n">
        <v>1.082689E8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268.0</v>
      </c>
      <c r="F159" s="26" t="n">
        <f>0</f>
        <v>0.0</v>
      </c>
      <c r="G159" s="25" t="n">
        <v>2.212939E8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11.0</v>
      </c>
      <c r="F168" s="18" t="n">
        <f>0</f>
        <v>0.0</v>
      </c>
      <c r="G168" s="17" t="n">
        <v>2.47355E7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80.0</v>
      </c>
      <c r="F169" s="22" t="n">
        <f>0</f>
        <v>0.0</v>
      </c>
      <c r="G169" s="21" t="n">
        <v>1.806745E8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154.0</v>
      </c>
      <c r="F170" s="22" t="n">
        <f>0</f>
        <v>0.0</v>
      </c>
      <c r="G170" s="21" t="n">
        <v>3.484015E8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245.0</v>
      </c>
      <c r="F171" s="26" t="n">
        <f>0</f>
        <v>0.0</v>
      </c>
      <c r="G171" s="25" t="n">
        <v>5.538115E8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7974000.0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7974000.0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486.0</v>
      </c>
      <c r="F204" s="18" t="n">
        <f>0</f>
        <v>0.0</v>
      </c>
      <c r="G204" s="17" t="n">
        <v>2.376509E9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117.0</v>
      </c>
      <c r="F205" s="22" t="n">
        <f>0</f>
        <v>0.0</v>
      </c>
      <c r="G205" s="21" t="n">
        <v>5.709825E8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1492.0</v>
      </c>
      <c r="F206" s="22" t="n">
        <f>0</f>
        <v>0.0</v>
      </c>
      <c r="G206" s="21" t="n">
        <v>7.3291685E9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2095.0</v>
      </c>
      <c r="F207" s="26" t="n">
        <f>0</f>
        <v>0.0</v>
      </c>
      <c r="G207" s="25" t="n">
        <v>1.027666E10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100.0</v>
      </c>
      <c r="F216" s="18" t="n">
        <f>100</f>
        <v>100.0</v>
      </c>
      <c r="G216" s="17" t="n">
        <v>2.1204E8</v>
      </c>
      <c r="H216" s="18" t="n">
        <f>212040000</f>
        <v>2.1204E8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20.0</v>
      </c>
      <c r="F218" s="22" t="n">
        <f>20</f>
        <v>20.0</v>
      </c>
      <c r="G218" s="21" t="n">
        <v>2.9448E7</v>
      </c>
      <c r="H218" s="22" t="n">
        <f>29448000</f>
        <v>2.9448E7</v>
      </c>
    </row>
    <row r="219" spans="1:8" ht="24.9" customHeight="1">
      <c r="A219" s="57"/>
      <c r="B219" s="59"/>
      <c r="C219" s="39"/>
      <c r="D219" s="24" t="s">
        <v>18</v>
      </c>
      <c r="E219" s="25" t="n">
        <v>120.0</v>
      </c>
      <c r="F219" s="26" t="n">
        <f>120</f>
        <v>120.0</v>
      </c>
      <c r="G219" s="25" t="n">
        <v>2.41488E8</v>
      </c>
      <c r="H219" s="26" t="n">
        <f>241488000</f>
        <v>2.41488E8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5.0</v>
      </c>
      <c r="F282" s="22" t="n">
        <f>0</f>
        <v>0.0</v>
      </c>
      <c r="G282" s="21" t="n">
        <v>6660000.0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5.0</v>
      </c>
      <c r="F283" s="26" t="n">
        <f>0</f>
        <v>0.0</v>
      </c>
      <c r="G283" s="25" t="n">
        <v>6660000.0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46315.0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46315.0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2485</f>
        <v>2485.0</v>
      </c>
      <c r="E12" s="35" t="n">
        <f>1555</f>
        <v>1555.0</v>
      </c>
      <c r="F12" s="17" t="n">
        <f>992</f>
        <v>992.0</v>
      </c>
      <c r="G12" s="35" t="n">
        <f>140</f>
        <v>140.0</v>
      </c>
      <c r="H12" s="17" t="n">
        <f>3477</f>
        <v>3477.0</v>
      </c>
      <c r="I12" s="35" t="n">
        <f>1695</f>
        <v>1695.0</v>
      </c>
      <c r="J12" s="17" t="n">
        <f>1781013730</f>
        <v>1.78101373E9</v>
      </c>
      <c r="K12" s="35" t="n">
        <f>1417036730</f>
        <v>1.41703673E9</v>
      </c>
      <c r="L12" s="17" t="n">
        <f>302390090</f>
        <v>3.0239009E8</v>
      </c>
      <c r="M12" s="35" t="n">
        <f>28506090</f>
        <v>2.850609E7</v>
      </c>
      <c r="N12" s="17" t="n">
        <f>2083403820</f>
        <v>2.08340382E9</v>
      </c>
      <c r="O12" s="35" t="n">
        <f>1445542820</f>
        <v>1.44554282E9</v>
      </c>
    </row>
    <row r="13" spans="1:15" ht="24.9" customHeight="1">
      <c r="A13" s="38"/>
      <c r="B13" s="62"/>
      <c r="C13" s="20" t="s">
        <v>16</v>
      </c>
      <c r="D13" s="21" t="n">
        <f>3834</f>
        <v>3834.0</v>
      </c>
      <c r="E13" s="36" t="n">
        <f>1361</f>
        <v>1361.0</v>
      </c>
      <c r="F13" s="21" t="n">
        <f>2033</f>
        <v>2033.0</v>
      </c>
      <c r="G13" s="36" t="n">
        <f>260</f>
        <v>260.0</v>
      </c>
      <c r="H13" s="21" t="n">
        <f>5867</f>
        <v>5867.0</v>
      </c>
      <c r="I13" s="36" t="n">
        <f>1621</f>
        <v>1621.0</v>
      </c>
      <c r="J13" s="21" t="n">
        <f>3781237300</f>
        <v>3.7812373E9</v>
      </c>
      <c r="K13" s="36" t="n">
        <f>2190152300</f>
        <v>2.1901523E9</v>
      </c>
      <c r="L13" s="21" t="n">
        <f>385841650</f>
        <v>3.8584165E8</v>
      </c>
      <c r="M13" s="36" t="n">
        <f>47473650</f>
        <v>4.747365E7</v>
      </c>
      <c r="N13" s="21" t="n">
        <f>4167078950</f>
        <v>4.16707895E9</v>
      </c>
      <c r="O13" s="36" t="n">
        <f>2237625950</f>
        <v>2.23762595E9</v>
      </c>
    </row>
    <row r="14" spans="1:15" ht="24.9" customHeight="1">
      <c r="A14" s="38"/>
      <c r="B14" s="62"/>
      <c r="C14" s="20" t="s">
        <v>17</v>
      </c>
      <c r="D14" s="21" t="n">
        <f>14063</f>
        <v>14063.0</v>
      </c>
      <c r="E14" s="36" t="n">
        <f>10717</f>
        <v>10717.0</v>
      </c>
      <c r="F14" s="21" t="n">
        <f>7121</f>
        <v>7121.0</v>
      </c>
      <c r="G14" s="36" t="n">
        <f>5589</f>
        <v>5589.0</v>
      </c>
      <c r="H14" s="21" t="n">
        <f>21184</f>
        <v>21184.0</v>
      </c>
      <c r="I14" s="36" t="n">
        <f>16306</f>
        <v>16306.0</v>
      </c>
      <c r="J14" s="21" t="n">
        <f>14547352470</f>
        <v>1.454735247E10</v>
      </c>
      <c r="K14" s="36" t="n">
        <f>12214063470</f>
        <v>1.221406347E10</v>
      </c>
      <c r="L14" s="21" t="n">
        <f>6559371441</f>
        <v>6.559371441E9</v>
      </c>
      <c r="M14" s="36" t="n">
        <f>5832516441</f>
        <v>5.832516441E9</v>
      </c>
      <c r="N14" s="21" t="n">
        <f>21106723911</f>
        <v>2.1106723911E10</v>
      </c>
      <c r="O14" s="36" t="n">
        <f>18046579911</f>
        <v>1.8046579911E10</v>
      </c>
    </row>
    <row r="15" spans="1:15" ht="24.9" customHeight="1">
      <c r="A15" s="38"/>
      <c r="B15" s="62"/>
      <c r="C15" s="24" t="s">
        <v>18</v>
      </c>
      <c r="D15" s="25" t="n">
        <f>20382</f>
        <v>20382.0</v>
      </c>
      <c r="E15" s="37" t="n">
        <f>13633</f>
        <v>13633.0</v>
      </c>
      <c r="F15" s="25" t="n">
        <f>10146</f>
        <v>10146.0</v>
      </c>
      <c r="G15" s="37" t="n">
        <f>5989</f>
        <v>5989.0</v>
      </c>
      <c r="H15" s="25" t="n">
        <f>30528</f>
        <v>30528.0</v>
      </c>
      <c r="I15" s="37" t="n">
        <f>19622</f>
        <v>19622.0</v>
      </c>
      <c r="J15" s="25" t="n">
        <f>20109603500</f>
        <v>2.01096035E10</v>
      </c>
      <c r="K15" s="37" t="n">
        <f>15821252500</f>
        <v>1.58212525E10</v>
      </c>
      <c r="L15" s="25" t="n">
        <f>7247603181</f>
        <v>7.247603181E9</v>
      </c>
      <c r="M15" s="37" t="n">
        <f>5908496181</f>
        <v>5.908496181E9</v>
      </c>
      <c r="N15" s="25" t="n">
        <f>27357206681</f>
        <v>2.7357206681E10</v>
      </c>
      <c r="O15" s="37" t="n">
        <f>21729748681</f>
        <v>2.1729748681E10</v>
      </c>
    </row>
    <row r="16" spans="1:15" ht="24.9" customHeight="1">
      <c r="A16" s="38"/>
      <c r="B16" s="61" t="s">
        <v>105</v>
      </c>
      <c r="C16" s="16" t="s">
        <v>15</v>
      </c>
      <c r="D16" s="17" t="n">
        <f>4483</f>
        <v>4483.0</v>
      </c>
      <c r="E16" s="35" t="n">
        <f>360</f>
        <v>360.0</v>
      </c>
      <c r="F16" s="17" t="n">
        <f>5617</f>
        <v>5617.0</v>
      </c>
      <c r="G16" s="35" t="n">
        <f>570</f>
        <v>570.0</v>
      </c>
      <c r="H16" s="17" t="n">
        <f>10100</f>
        <v>10100.0</v>
      </c>
      <c r="I16" s="35" t="n">
        <f>930</f>
        <v>930.0</v>
      </c>
      <c r="J16" s="17" t="n">
        <f>246267060</f>
        <v>2.4626706E8</v>
      </c>
      <c r="K16" s="35" t="n">
        <f>14534660</f>
        <v>1.453466E7</v>
      </c>
      <c r="L16" s="17" t="n">
        <f>178345560</f>
        <v>1.7834556E8</v>
      </c>
      <c r="M16" s="35" t="n">
        <f>8085560</f>
        <v>8085560.0</v>
      </c>
      <c r="N16" s="17" t="n">
        <f>424612620</f>
        <v>4.2461262E8</v>
      </c>
      <c r="O16" s="35" t="n">
        <f>22620220</f>
        <v>2.262022E7</v>
      </c>
    </row>
    <row r="17" spans="1:15" ht="24.9" customHeight="1">
      <c r="A17" s="38"/>
      <c r="B17" s="62"/>
      <c r="C17" s="20" t="s">
        <v>16</v>
      </c>
      <c r="D17" s="21" t="n">
        <f>3662</f>
        <v>3662.0</v>
      </c>
      <c r="E17" s="36" t="n">
        <f>70</f>
        <v>70.0</v>
      </c>
      <c r="F17" s="21" t="n">
        <f>7078</f>
        <v>7078.0</v>
      </c>
      <c r="G17" s="36" t="n">
        <f>300</f>
        <v>300.0</v>
      </c>
      <c r="H17" s="21" t="n">
        <f>10740</f>
        <v>10740.0</v>
      </c>
      <c r="I17" s="36" t="n">
        <f>370</f>
        <v>370.0</v>
      </c>
      <c r="J17" s="21" t="n">
        <f>185222390</f>
        <v>1.8522239E8</v>
      </c>
      <c r="K17" s="36" t="n">
        <f>2908790</f>
        <v>2908790.0</v>
      </c>
      <c r="L17" s="21" t="n">
        <f>154542970</f>
        <v>1.5454297E8</v>
      </c>
      <c r="M17" s="36" t="n">
        <f>3725070</f>
        <v>3725070.0</v>
      </c>
      <c r="N17" s="21" t="n">
        <f>339765360</f>
        <v>3.3976536E8</v>
      </c>
      <c r="O17" s="36" t="n">
        <f>6633860</f>
        <v>6633860.0</v>
      </c>
    </row>
    <row r="18" spans="1:15" ht="24.9" customHeight="1">
      <c r="A18" s="38"/>
      <c r="B18" s="62"/>
      <c r="C18" s="20" t="s">
        <v>17</v>
      </c>
      <c r="D18" s="21" t="n">
        <f>5471</f>
        <v>5471.0</v>
      </c>
      <c r="E18" s="36" t="n">
        <f>140</f>
        <v>140.0</v>
      </c>
      <c r="F18" s="21" t="n">
        <f>8503</f>
        <v>8503.0</v>
      </c>
      <c r="G18" s="36" t="n">
        <f>430</f>
        <v>430.0</v>
      </c>
      <c r="H18" s="21" t="n">
        <f>13974</f>
        <v>13974.0</v>
      </c>
      <c r="I18" s="36" t="n">
        <f>570</f>
        <v>570.0</v>
      </c>
      <c r="J18" s="21" t="n">
        <f>332957450</f>
        <v>3.3295745E8</v>
      </c>
      <c r="K18" s="36" t="n">
        <f>3636250</f>
        <v>3636250.0</v>
      </c>
      <c r="L18" s="21" t="n">
        <f>215345300</f>
        <v>2.153453E8</v>
      </c>
      <c r="M18" s="36" t="n">
        <f>5284900</f>
        <v>5284900.0</v>
      </c>
      <c r="N18" s="21" t="n">
        <f>548302750</f>
        <v>5.4830275E8</v>
      </c>
      <c r="O18" s="36" t="n">
        <f>8921150</f>
        <v>8921150.0</v>
      </c>
    </row>
    <row r="19" spans="1:15" ht="24.9" customHeight="1">
      <c r="A19" s="38"/>
      <c r="B19" s="62"/>
      <c r="C19" s="24" t="s">
        <v>18</v>
      </c>
      <c r="D19" s="25" t="n">
        <f>13616</f>
        <v>13616.0</v>
      </c>
      <c r="E19" s="37" t="n">
        <f>570</f>
        <v>570.0</v>
      </c>
      <c r="F19" s="25" t="n">
        <f>21198</f>
        <v>21198.0</v>
      </c>
      <c r="G19" s="37" t="n">
        <f>1300</f>
        <v>1300.0</v>
      </c>
      <c r="H19" s="25" t="n">
        <f>34814</f>
        <v>34814.0</v>
      </c>
      <c r="I19" s="37" t="n">
        <f>1870</f>
        <v>1870.0</v>
      </c>
      <c r="J19" s="25" t="n">
        <f>764446900</f>
        <v>7.644469E8</v>
      </c>
      <c r="K19" s="37" t="n">
        <f>21079700</f>
        <v>2.10797E7</v>
      </c>
      <c r="L19" s="25" t="n">
        <f>548233830</f>
        <v>5.4823383E8</v>
      </c>
      <c r="M19" s="37" t="n">
        <f>17095530</f>
        <v>1.709553E7</v>
      </c>
      <c r="N19" s="25" t="n">
        <f>1312680730</f>
        <v>1.31268073E9</v>
      </c>
      <c r="O19" s="37" t="n">
        <f>38175230</f>
        <v>3.817523E7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250</f>
        <v>250.0</v>
      </c>
      <c r="E21" s="36" t="n">
        <f>250</f>
        <v>250.0</v>
      </c>
      <c r="F21" s="21" t="n">
        <f>200</f>
        <v>200.0</v>
      </c>
      <c r="G21" s="36" t="n">
        <f>200</f>
        <v>200.0</v>
      </c>
      <c r="H21" s="21" t="n">
        <f>450</f>
        <v>450.0</v>
      </c>
      <c r="I21" s="36" t="n">
        <f>450</f>
        <v>450.0</v>
      </c>
      <c r="J21" s="21" t="n">
        <f>28750000</f>
        <v>2.875E7</v>
      </c>
      <c r="K21" s="36" t="n">
        <f>28750000</f>
        <v>2.875E7</v>
      </c>
      <c r="L21" s="21" t="n">
        <f>72500000</f>
        <v>7.25E7</v>
      </c>
      <c r="M21" s="36" t="n">
        <f>72500000</f>
        <v>7.25E7</v>
      </c>
      <c r="N21" s="21" t="n">
        <f>101250000</f>
        <v>1.0125E8</v>
      </c>
      <c r="O21" s="36" t="n">
        <f>101250000</f>
        <v>1.0125E8</v>
      </c>
    </row>
    <row r="22" spans="1:15" ht="24.9" customHeight="1">
      <c r="A22" s="38"/>
      <c r="B22" s="62"/>
      <c r="C22" s="20" t="s">
        <v>17</v>
      </c>
      <c r="D22" s="21" t="n">
        <f>622</f>
        <v>622.0</v>
      </c>
      <c r="E22" s="36" t="n">
        <f>622</f>
        <v>622.0</v>
      </c>
      <c r="F22" s="21" t="n">
        <f>50</f>
        <v>50.0</v>
      </c>
      <c r="G22" s="36" t="n">
        <f>50</f>
        <v>50.0</v>
      </c>
      <c r="H22" s="21" t="n">
        <f>672</f>
        <v>672.0</v>
      </c>
      <c r="I22" s="36" t="n">
        <f>672</f>
        <v>672.0</v>
      </c>
      <c r="J22" s="21" t="n">
        <f>731358000</f>
        <v>7.31358E8</v>
      </c>
      <c r="K22" s="36" t="n">
        <f>731358000</f>
        <v>7.31358E8</v>
      </c>
      <c r="L22" s="21" t="n">
        <f>95600000</f>
        <v>9.56E7</v>
      </c>
      <c r="M22" s="36" t="n">
        <f>95600000</f>
        <v>9.56E7</v>
      </c>
      <c r="N22" s="21" t="n">
        <f>826958000</f>
        <v>8.26958E8</v>
      </c>
      <c r="O22" s="36" t="n">
        <f>826958000</f>
        <v>8.26958E8</v>
      </c>
    </row>
    <row r="23" spans="1:15" ht="24.9" customHeight="1">
      <c r="A23" s="38"/>
      <c r="B23" s="62"/>
      <c r="C23" s="24" t="s">
        <v>18</v>
      </c>
      <c r="D23" s="25" t="n">
        <f>872</f>
        <v>872.0</v>
      </c>
      <c r="E23" s="37" t="n">
        <f>872</f>
        <v>872.0</v>
      </c>
      <c r="F23" s="25" t="n">
        <f>250</f>
        <v>250.0</v>
      </c>
      <c r="G23" s="37" t="n">
        <f>250</f>
        <v>250.0</v>
      </c>
      <c r="H23" s="25" t="n">
        <f>1122</f>
        <v>1122.0</v>
      </c>
      <c r="I23" s="37" t="n">
        <f>1122</f>
        <v>1122.0</v>
      </c>
      <c r="J23" s="25" t="n">
        <f>760108000</f>
        <v>7.60108E8</v>
      </c>
      <c r="K23" s="37" t="n">
        <f>760108000</f>
        <v>7.60108E8</v>
      </c>
      <c r="L23" s="25" t="n">
        <f>168100000</f>
        <v>1.681E8</v>
      </c>
      <c r="M23" s="37" t="n">
        <f>168100000</f>
        <v>1.681E8</v>
      </c>
      <c r="N23" s="25" t="n">
        <f>928208000</f>
        <v>9.28208E8</v>
      </c>
      <c r="O23" s="37" t="n">
        <f>928208000</f>
        <v>9.28208E8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30</f>
        <v>30.0</v>
      </c>
      <c r="E37" s="22" t="n">
        <f>0</f>
        <v>0.0</v>
      </c>
      <c r="F37" s="21" t="n">
        <f>51</f>
        <v>51.0</v>
      </c>
      <c r="G37" s="22" t="n">
        <f>25</f>
        <v>25.0</v>
      </c>
      <c r="H37" s="21" t="n">
        <f>81</f>
        <v>81.0</v>
      </c>
      <c r="I37" s="22" t="n">
        <f>25</f>
        <v>25.0</v>
      </c>
      <c r="J37" s="21" t="n">
        <f>9650000</f>
        <v>9650000.0</v>
      </c>
      <c r="K37" s="22" t="n">
        <f>0</f>
        <v>0.0</v>
      </c>
      <c r="L37" s="21" t="n">
        <f>9700000</f>
        <v>9700000.0</v>
      </c>
      <c r="M37" s="22" t="n">
        <f>5500000</f>
        <v>5500000.0</v>
      </c>
      <c r="N37" s="21" t="n">
        <f>19350000</f>
        <v>1.935E7</v>
      </c>
      <c r="O37" s="22" t="n">
        <f>5500000</f>
        <v>5500000.0</v>
      </c>
    </row>
    <row r="38" spans="1:15" ht="24.9" customHeight="1">
      <c r="A38" s="38"/>
      <c r="B38" s="62"/>
      <c r="C38" s="20" t="s">
        <v>17</v>
      </c>
      <c r="D38" s="21" t="n">
        <f>36</f>
        <v>36.0</v>
      </c>
      <c r="E38" s="36" t="n">
        <f>0</f>
        <v>0.0</v>
      </c>
      <c r="F38" s="21" t="n">
        <f>351</f>
        <v>351.0</v>
      </c>
      <c r="G38" s="36" t="n">
        <f>50</f>
        <v>50.0</v>
      </c>
      <c r="H38" s="21" t="n">
        <f>387</f>
        <v>387.0</v>
      </c>
      <c r="I38" s="36" t="n">
        <f>50</f>
        <v>50.0</v>
      </c>
      <c r="J38" s="21" t="n">
        <f>7130000</f>
        <v>7130000.0</v>
      </c>
      <c r="K38" s="36" t="n">
        <f>0</f>
        <v>0.0</v>
      </c>
      <c r="L38" s="21" t="n">
        <f>58440000</f>
        <v>5.844E7</v>
      </c>
      <c r="M38" s="36" t="n">
        <f>38500000</f>
        <v>3.85E7</v>
      </c>
      <c r="N38" s="21" t="n">
        <f>65570000</f>
        <v>6.557E7</v>
      </c>
      <c r="O38" s="36" t="n">
        <f>38500000</f>
        <v>3.85E7</v>
      </c>
    </row>
    <row r="39" spans="1:15" ht="24.9" customHeight="1">
      <c r="A39" s="38"/>
      <c r="B39" s="62"/>
      <c r="C39" s="24" t="s">
        <v>18</v>
      </c>
      <c r="D39" s="25" t="n">
        <f>66</f>
        <v>66.0</v>
      </c>
      <c r="E39" s="37" t="n">
        <f>0</f>
        <v>0.0</v>
      </c>
      <c r="F39" s="25" t="n">
        <f>402</f>
        <v>402.0</v>
      </c>
      <c r="G39" s="37" t="n">
        <f>75</f>
        <v>75.0</v>
      </c>
      <c r="H39" s="25" t="n">
        <f>468</f>
        <v>468.0</v>
      </c>
      <c r="I39" s="37" t="n">
        <f>75</f>
        <v>75.0</v>
      </c>
      <c r="J39" s="25" t="n">
        <f>16780000</f>
        <v>1.678E7</v>
      </c>
      <c r="K39" s="37" t="n">
        <f>0</f>
        <v>0.0</v>
      </c>
      <c r="L39" s="25" t="n">
        <f>68140000</f>
        <v>6.814E7</v>
      </c>
      <c r="M39" s="37" t="n">
        <f>44000000</f>
        <v>4.4E7</v>
      </c>
      <c r="N39" s="25" t="n">
        <f>84920000</f>
        <v>8.492E7</v>
      </c>
      <c r="O39" s="37" t="n">
        <f>44000000</f>
        <v>4.4E7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1196</f>
        <v>1196.0</v>
      </c>
      <c r="E41" s="36" t="n">
        <f>100</f>
        <v>100.0</v>
      </c>
      <c r="F41" s="21" t="n">
        <f>1133</f>
        <v>1133.0</v>
      </c>
      <c r="G41" s="36" t="n">
        <f>30</f>
        <v>30.0</v>
      </c>
      <c r="H41" s="21" t="n">
        <f>2329</f>
        <v>2329.0</v>
      </c>
      <c r="I41" s="36" t="n">
        <f>130</f>
        <v>130.0</v>
      </c>
      <c r="J41" s="21" t="n">
        <f>13827810</f>
        <v>1.382781E7</v>
      </c>
      <c r="K41" s="36" t="n">
        <f>525000</f>
        <v>525000.0</v>
      </c>
      <c r="L41" s="21" t="n">
        <f>12117960</f>
        <v>1.211796E7</v>
      </c>
      <c r="M41" s="36" t="n">
        <f>112200</f>
        <v>112200.0</v>
      </c>
      <c r="N41" s="21" t="n">
        <f>25945770</f>
        <v>2.594577E7</v>
      </c>
      <c r="O41" s="36" t="n">
        <f>637200</f>
        <v>637200.0</v>
      </c>
    </row>
    <row r="42" spans="1:15" ht="24.9" customHeight="1">
      <c r="A42" s="38"/>
      <c r="B42" s="62"/>
      <c r="C42" s="20" t="s">
        <v>17</v>
      </c>
      <c r="D42" s="21" t="n">
        <f>1838</f>
        <v>1838.0</v>
      </c>
      <c r="E42" s="36" t="n">
        <f>0</f>
        <v>0.0</v>
      </c>
      <c r="F42" s="21" t="n">
        <f>1007</f>
        <v>1007.0</v>
      </c>
      <c r="G42" s="36" t="n">
        <f>0</f>
        <v>0.0</v>
      </c>
      <c r="H42" s="21" t="n">
        <f>2845</f>
        <v>2845.0</v>
      </c>
      <c r="I42" s="36" t="n">
        <f>0</f>
        <v>0.0</v>
      </c>
      <c r="J42" s="21" t="n">
        <f>40947245</f>
        <v>4.0947245E7</v>
      </c>
      <c r="K42" s="36" t="n">
        <f>0</f>
        <v>0.0</v>
      </c>
      <c r="L42" s="21" t="n">
        <f>15519620</f>
        <v>1.551962E7</v>
      </c>
      <c r="M42" s="36" t="n">
        <f>0</f>
        <v>0.0</v>
      </c>
      <c r="N42" s="21" t="n">
        <f>56466865</f>
        <v>5.6466865E7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3034</f>
        <v>3034.0</v>
      </c>
      <c r="E43" s="37" t="n">
        <f>100</f>
        <v>100.0</v>
      </c>
      <c r="F43" s="25" t="n">
        <f>2140</f>
        <v>2140.0</v>
      </c>
      <c r="G43" s="37" t="n">
        <f>30</f>
        <v>30.0</v>
      </c>
      <c r="H43" s="25" t="n">
        <f>5174</f>
        <v>5174.0</v>
      </c>
      <c r="I43" s="37" t="n">
        <f>130</f>
        <v>130.0</v>
      </c>
      <c r="J43" s="25" t="n">
        <f>54775055</f>
        <v>5.4775055E7</v>
      </c>
      <c r="K43" s="37" t="n">
        <f>525000</f>
        <v>525000.0</v>
      </c>
      <c r="L43" s="25" t="n">
        <f>27637580</f>
        <v>2.763758E7</v>
      </c>
      <c r="M43" s="37" t="n">
        <f>112200</f>
        <v>112200.0</v>
      </c>
      <c r="N43" s="25" t="n">
        <f>82412635</f>
        <v>8.2412635E7</v>
      </c>
      <c r="O43" s="37" t="n">
        <f>637200</f>
        <v>637200.0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