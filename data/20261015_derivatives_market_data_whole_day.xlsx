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<sst xmlns="http://schemas.openxmlformats.org/spreadsheetml/2006/main" count="528" uniqueCount="129">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</sst>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DATE(2026,10,15)</f>
        <v>46310.0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DATE(2026,10,15)</f>
        <v>46310.0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964096.0</f>
        <v>964096.0</v>
      </c>
      <c r="E12" s="18" t="n">
        <f>42639.0</f>
        <v>42639.0</v>
      </c>
      <c r="F12" s="19" t="n">
        <f>1.0</f>
        <v>1.0</v>
      </c>
      <c r="G12" s="17" t="n">
        <f>6730763419510.0</f>
        <v>6.73076341951E12</v>
      </c>
      <c r="H12" s="18" t="n">
        <f>419201214510.0</f>
        <v>4.1920121451E11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713938.0</f>
        <v>713938.0</v>
      </c>
      <c r="E13" s="22" t="n">
        <f>24112.0</f>
        <v>24112.0</v>
      </c>
      <c r="F13" s="23" t="n">
        <f>1.0</f>
        <v>1.0</v>
      </c>
      <c r="G13" s="21" t="n">
        <f>7893815377925.0</f>
        <v>7.893815377925E12</v>
      </c>
      <c r="H13" s="22" t="n">
        <f>398736287350.0</f>
        <v>3.9873628735E11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869569.0</f>
        <v>869569.0</v>
      </c>
      <c r="E14" s="22" t="n">
        <f>56296.0</f>
        <v>56296.0</v>
      </c>
      <c r="F14" s="23" t="n">
        <f>1.0</f>
        <v>1.0</v>
      </c>
      <c r="G14" s="21" t="n">
        <f>9826998930330.0</f>
        <v>9.82699893033E12</v>
      </c>
      <c r="H14" s="22" t="n">
        <f>1629603067780.0</f>
        <v>1.62960306778E12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2547603.0</f>
        <v>2547603.0</v>
      </c>
      <c r="E15" s="26" t="n">
        <f>123047.0</f>
        <v>123047.0</v>
      </c>
      <c r="F15" s="27" t="n">
        <f>1.0</f>
        <v>1.0</v>
      </c>
      <c r="G15" s="25" t="n">
        <f>24451577727765.0</f>
        <v>2.4451577727765E13</v>
      </c>
      <c r="H15" s="26" t="n">
        <f>2447540569640.0</f>
        <v>2.44754056964E12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19896.0</f>
        <v>19896.0</v>
      </c>
      <c r="E16" s="18" t="n">
        <f>79.0</f>
        <v>79.0</v>
      </c>
      <c r="F16" s="19" t="n">
        <f>0.021</f>
        <v>0.021</v>
      </c>
      <c r="G16" s="17" t="n">
        <f>2332239420000.0</f>
        <v>2.33223942E12</v>
      </c>
      <c r="H16" s="18" t="n">
        <f>9870725000.0</f>
        <v>9.870725E9</v>
      </c>
      <c r="I16" s="19" t="n">
        <f>0.347</f>
        <v>0.347</v>
      </c>
    </row>
    <row r="17" spans="1:9" ht="24.9" customHeight="1">
      <c r="A17" s="41"/>
      <c r="B17" s="39"/>
      <c r="C17" s="20" t="s">
        <v>16</v>
      </c>
      <c r="D17" s="21" t="n">
        <f>31971.0</f>
        <v>31971.0</v>
      </c>
      <c r="E17" s="22" t="n">
        <f>901.0</f>
        <v>901.0</v>
      </c>
      <c r="F17" s="23" t="n">
        <f>0.045</f>
        <v>0.045</v>
      </c>
      <c r="G17" s="21" t="n">
        <f>3522642425625.0</f>
        <v>3.522642425625E12</v>
      </c>
      <c r="H17" s="22" t="n">
        <f>112891650000.0</f>
        <v>1.1289165E11</v>
      </c>
      <c r="I17" s="23" t="n">
        <f>0.446</f>
        <v>0.446</v>
      </c>
    </row>
    <row r="18" spans="1:9" ht="24.9" customHeight="1">
      <c r="A18" s="41"/>
      <c r="B18" s="39"/>
      <c r="C18" s="20" t="s">
        <v>17</v>
      </c>
      <c r="D18" s="21" t="n">
        <f>26346.0</f>
        <v>26346.0</v>
      </c>
      <c r="E18" s="22" t="n">
        <f>3326.0</f>
        <v>3326.0</v>
      </c>
      <c r="F18" s="23" t="n">
        <f>0.03</f>
        <v>0.03</v>
      </c>
      <c r="G18" s="21" t="n">
        <f>3005326084250.0</f>
        <v>3.00532608425E12</v>
      </c>
      <c r="H18" s="22" t="n">
        <f>417845075000.0</f>
        <v>4.17845075E11</v>
      </c>
      <c r="I18" s="23" t="n">
        <f>0.306</f>
        <v>0.306</v>
      </c>
    </row>
    <row r="19" spans="1:9" ht="24.9" customHeight="1">
      <c r="A19" s="41"/>
      <c r="B19" s="39"/>
      <c r="C19" s="24" t="s">
        <v>18</v>
      </c>
      <c r="D19" s="25" t="n">
        <f>78213.0</f>
        <v>78213.0</v>
      </c>
      <c r="E19" s="26" t="n">
        <f>4306.0</f>
        <v>4306.0</v>
      </c>
      <c r="F19" s="27" t="n">
        <f>0.031</f>
        <v>0.031</v>
      </c>
      <c r="G19" s="25" t="n">
        <f>8860207929875.0</f>
        <v>8.860207929875E12</v>
      </c>
      <c r="H19" s="26" t="n">
        <f>540607450000.0</f>
        <v>5.4060745E11</v>
      </c>
      <c r="I19" s="27" t="n">
        <f>0.362</f>
        <v>0.362</v>
      </c>
    </row>
    <row r="20" spans="1:9" ht="24.9" customHeight="1">
      <c r="A20" s="41"/>
      <c r="B20" s="39" t="s">
        <v>21</v>
      </c>
      <c r="C20" s="16" t="s">
        <v>15</v>
      </c>
      <c r="D20" s="17" t="n">
        <f>924910.0</f>
        <v>924910.0</v>
      </c>
      <c r="E20" s="18" t="n">
        <f>42530.0</f>
        <v>42530.0</v>
      </c>
      <c r="F20" s="19" t="n">
        <f>0.959</f>
        <v>0.959</v>
      </c>
      <c r="G20" s="17" t="n">
        <f>4187535366360.0</f>
        <v>4.18753536636E12</v>
      </c>
      <c r="H20" s="18" t="n">
        <f>409281030310.0</f>
        <v>4.0928103031E11</v>
      </c>
      <c r="I20" s="19" t="n">
        <f>0.622</f>
        <v>0.622</v>
      </c>
    </row>
    <row r="21" spans="1:9" ht="24.9" customHeight="1">
      <c r="A21" s="41"/>
      <c r="B21" s="39"/>
      <c r="C21" s="20" t="s">
        <v>16</v>
      </c>
      <c r="D21" s="21" t="n">
        <f>674719.0</f>
        <v>674719.0</v>
      </c>
      <c r="E21" s="22" t="n">
        <f>23210.0</f>
        <v>23210.0</v>
      </c>
      <c r="F21" s="23" t="n">
        <f>0.945</f>
        <v>0.945</v>
      </c>
      <c r="G21" s="21" t="n">
        <f>4307903609800.0</f>
        <v>4.3079036098E12</v>
      </c>
      <c r="H21" s="22" t="n">
        <f>285843832350.0</f>
        <v>2.8584383235E11</v>
      </c>
      <c r="I21" s="23" t="n">
        <f>0.546</f>
        <v>0.546</v>
      </c>
    </row>
    <row r="22" spans="1:9" ht="24.9" customHeight="1">
      <c r="A22" s="41"/>
      <c r="B22" s="39"/>
      <c r="C22" s="20" t="s">
        <v>17</v>
      </c>
      <c r="D22" s="21" t="n">
        <f>828411.0</f>
        <v>828411.0</v>
      </c>
      <c r="E22" s="22" t="n">
        <f>52761.0</f>
        <v>52761.0</v>
      </c>
      <c r="F22" s="23" t="n">
        <f>0.953</f>
        <v>0.953</v>
      </c>
      <c r="G22" s="21" t="n">
        <f>6752453556580.0</f>
        <v>6.75245355658E12</v>
      </c>
      <c r="H22" s="22" t="n">
        <f>1208743773980.0</f>
        <v>1.20874377398E12</v>
      </c>
      <c r="I22" s="23" t="n">
        <f>0.687</f>
        <v>0.687</v>
      </c>
    </row>
    <row r="23" spans="1:9" ht="24.9" customHeight="1">
      <c r="A23" s="41"/>
      <c r="B23" s="39"/>
      <c r="C23" s="24" t="s">
        <v>18</v>
      </c>
      <c r="D23" s="25" t="n">
        <f>2428040.0</f>
        <v>2428040.0</v>
      </c>
      <c r="E23" s="26" t="n">
        <f>118501.0</f>
        <v>118501.0</v>
      </c>
      <c r="F23" s="27" t="n">
        <f>0.953</f>
        <v>0.953</v>
      </c>
      <c r="G23" s="25" t="n">
        <f>15247892532740.0</f>
        <v>1.524789253274E13</v>
      </c>
      <c r="H23" s="26" t="n">
        <f>1903868636640.0</f>
        <v>1.90386863664E12</v>
      </c>
      <c r="I23" s="27" t="n">
        <f>0.624</f>
        <v>0.624</v>
      </c>
    </row>
    <row r="24" spans="1:9" ht="24.9" customHeight="1">
      <c r="A24" s="41"/>
      <c r="B24" s="39" t="s">
        <v>22</v>
      </c>
      <c r="C24" s="16" t="s">
        <v>15</v>
      </c>
      <c r="D24" s="17" t="n">
        <f>18728.0</f>
        <v>18728.0</v>
      </c>
      <c r="E24" s="18" t="n">
        <f>0.0</f>
        <v>0.0</v>
      </c>
      <c r="F24" s="19" t="n">
        <f>0.019</f>
        <v>0.019</v>
      </c>
      <c r="G24" s="17" t="n">
        <f>208369110450.0</f>
        <v>2.0836911045E11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7009.0</f>
        <v>7009.0</v>
      </c>
      <c r="E25" s="22" t="n">
        <f>1.0</f>
        <v>1.0</v>
      </c>
      <c r="F25" s="23" t="n">
        <f>0.01</f>
        <v>0.01</v>
      </c>
      <c r="G25" s="21" t="n">
        <f>62130521000.0</f>
        <v>6.2130521E10</v>
      </c>
      <c r="H25" s="22" t="n">
        <f>805000.0</f>
        <v>805000.0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12511.0</f>
        <v>12511.0</v>
      </c>
      <c r="E26" s="22" t="n">
        <f>0.0</f>
        <v>0.0</v>
      </c>
      <c r="F26" s="23" t="n">
        <f>0.014</f>
        <v>0.014</v>
      </c>
      <c r="G26" s="21" t="n">
        <f>56322433200.0</f>
        <v>5.63224332E10</v>
      </c>
      <c r="H26" s="22" t="n">
        <f>0.0</f>
        <v>0.0</v>
      </c>
      <c r="I26" s="23" t="n">
        <f>0.006</f>
        <v>0.006</v>
      </c>
    </row>
    <row r="27" spans="1:9" ht="24.9" customHeight="1">
      <c r="A27" s="42"/>
      <c r="B27" s="39"/>
      <c r="C27" s="24" t="s">
        <v>18</v>
      </c>
      <c r="D27" s="25" t="n">
        <f>38248.0</f>
        <v>38248.0</v>
      </c>
      <c r="E27" s="26" t="n">
        <f>1.0</f>
        <v>1.0</v>
      </c>
      <c r="F27" s="27" t="n">
        <f>0.015</f>
        <v>0.015</v>
      </c>
      <c r="G27" s="25" t="n">
        <f>326822064650.0</f>
        <v>3.2682206465E11</v>
      </c>
      <c r="H27" s="26" t="n">
        <f>805000.0</f>
        <v>805000.0</v>
      </c>
      <c r="I27" s="27" t="n">
        <f>0.013</f>
        <v>0.013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562.0</f>
        <v>562.0</v>
      </c>
      <c r="E28" s="18" t="n">
        <f>30.0</f>
        <v>30.0</v>
      </c>
      <c r="F28" s="19" t="n">
        <f>0.001</f>
        <v>0.001</v>
      </c>
      <c r="G28" s="17" t="n">
        <f>2619522700.0</f>
        <v>2.6195227E9</v>
      </c>
      <c r="H28" s="18" t="n">
        <f>49459200.0</f>
        <v>4.94592E7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239.0</f>
        <v>239.0</v>
      </c>
      <c r="E29" s="22" t="n">
        <f>0.0</f>
        <v>0.0</v>
      </c>
      <c r="F29" s="23" t="n">
        <f>0.0</f>
        <v>0.0</v>
      </c>
      <c r="G29" s="21" t="n">
        <f>1138821500.0</f>
        <v>1.1388215E9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2301.0</f>
        <v>2301.0</v>
      </c>
      <c r="E30" s="22" t="n">
        <f>209.0</f>
        <v>209.0</v>
      </c>
      <c r="F30" s="23" t="n">
        <f>0.003</f>
        <v>0.003</v>
      </c>
      <c r="G30" s="21" t="n">
        <f>12896856300.0</f>
        <v>1.28968563E10</v>
      </c>
      <c r="H30" s="22" t="n">
        <f>3014218800.0</f>
        <v>3.0142188E9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3102.0</f>
        <v>3102.0</v>
      </c>
      <c r="E31" s="26" t="n">
        <f>239.0</f>
        <v>239.0</v>
      </c>
      <c r="F31" s="27" t="n">
        <f>0.001</f>
        <v>0.001</v>
      </c>
      <c r="G31" s="25" t="n">
        <f>16655200500.0</f>
        <v>1.66552005E10</v>
      </c>
      <c r="H31" s="26" t="n">
        <f>3063678000.0</f>
        <v>3.063678E9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46310.0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46310.0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29748</f>
        <v>29748.0</v>
      </c>
      <c r="E11" s="18" t="n">
        <f>7734</f>
        <v>7734.0</v>
      </c>
      <c r="F11" s="19" t="n">
        <f>1</f>
        <v>1.0</v>
      </c>
      <c r="G11" s="17" t="n">
        <f>4628775024</f>
        <v>4.628775024E9</v>
      </c>
      <c r="H11" s="18" t="n">
        <f>3408444524</f>
        <v>3.408444524E9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42704</f>
        <v>42704.0</v>
      </c>
      <c r="E12" s="22" t="n">
        <f>7466</f>
        <v>7466.0</v>
      </c>
      <c r="F12" s="23" t="n">
        <f>1</f>
        <v>1.0</v>
      </c>
      <c r="G12" s="21" t="n">
        <f>15029792950</f>
        <v>1.502979295E10</v>
      </c>
      <c r="H12" s="22" t="n">
        <f>9507551650</f>
        <v>9.50755165E9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85553</f>
        <v>85553.0</v>
      </c>
      <c r="E13" s="22" t="n">
        <f>29369</f>
        <v>29369.0</v>
      </c>
      <c r="F13" s="23" t="n">
        <f>1</f>
        <v>1.0</v>
      </c>
      <c r="G13" s="21" t="n">
        <f>39139022858</f>
        <v>3.9139022858E10</v>
      </c>
      <c r="H13" s="22" t="n">
        <f>29495438458</f>
        <v>2.9495438458E10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158005</f>
        <v>158005.0</v>
      </c>
      <c r="E14" s="26" t="n">
        <f>44569</f>
        <v>44569.0</v>
      </c>
      <c r="F14" s="27" t="n">
        <f>1</f>
        <v>1.0</v>
      </c>
      <c r="G14" s="25" t="n">
        <f>58797590832</f>
        <v>5.8797590832E10</v>
      </c>
      <c r="H14" s="26" t="n">
        <f>42411434632</f>
        <v>4.2411434632E10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6</f>
        <v>6.0</v>
      </c>
      <c r="E15" s="18" t="n">
        <f>0</f>
        <v>0.0</v>
      </c>
      <c r="F15" s="19" t="n">
        <f>0</f>
        <v>0.0</v>
      </c>
      <c r="G15" s="17" t="n">
        <f>600000</f>
        <v>600000.0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276</f>
        <v>276.0</v>
      </c>
      <c r="E16" s="22" t="n">
        <f>0</f>
        <v>0.0</v>
      </c>
      <c r="F16" s="23" t="n">
        <f>0.006</f>
        <v>0.006</v>
      </c>
      <c r="G16" s="21" t="n">
        <f>61180000</f>
        <v>6.118E7</v>
      </c>
      <c r="H16" s="22" t="n">
        <f>0</f>
        <v>0.0</v>
      </c>
      <c r="I16" s="23" t="n">
        <f>0.004</f>
        <v>0.004</v>
      </c>
    </row>
    <row r="17" spans="1:9" ht="24.9" customHeight="1">
      <c r="A17" s="41"/>
      <c r="B17" s="39"/>
      <c r="C17" s="20" t="s">
        <v>17</v>
      </c>
      <c r="D17" s="21" t="n">
        <f>184</f>
        <v>184.0</v>
      </c>
      <c r="E17" s="22" t="n">
        <f>0</f>
        <v>0.0</v>
      </c>
      <c r="F17" s="23" t="n">
        <f>0.002</f>
        <v>0.002</v>
      </c>
      <c r="G17" s="21" t="n">
        <f>41020000</f>
        <v>4.102E7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466</f>
        <v>466.0</v>
      </c>
      <c r="E18" s="26" t="n">
        <f>0</f>
        <v>0.0</v>
      </c>
      <c r="F18" s="27" t="n">
        <f>0.003</f>
        <v>0.003</v>
      </c>
      <c r="G18" s="25" t="n">
        <f>102800000</f>
        <v>1.028E8</v>
      </c>
      <c r="H18" s="26" t="n">
        <f>0</f>
        <v>0.0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29742</f>
        <v>29742.0</v>
      </c>
      <c r="E19" s="18" t="n">
        <f>7734</f>
        <v>7734.0</v>
      </c>
      <c r="F19" s="19" t="n">
        <f>1</f>
        <v>1.0</v>
      </c>
      <c r="G19" s="17" t="n">
        <f>4628175024</f>
        <v>4.628175024E9</v>
      </c>
      <c r="H19" s="18" t="n">
        <f>3408444524</f>
        <v>3.408444524E9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39773</f>
        <v>39773.0</v>
      </c>
      <c r="E20" s="22" t="n">
        <f>6751</f>
        <v>6751.0</v>
      </c>
      <c r="F20" s="23" t="n">
        <f>0.931</f>
        <v>0.931</v>
      </c>
      <c r="G20" s="21" t="n">
        <f>14865095050</f>
        <v>1.486509505E10</v>
      </c>
      <c r="H20" s="22" t="n">
        <f>9448564150</f>
        <v>9.44856415E9</v>
      </c>
      <c r="I20" s="23" t="n">
        <f>0.989</f>
        <v>0.989</v>
      </c>
    </row>
    <row r="21" spans="1:9" ht="24.9" customHeight="1">
      <c r="A21" s="41"/>
      <c r="B21" s="39"/>
      <c r="C21" s="20" t="s">
        <v>17</v>
      </c>
      <c r="D21" s="21" t="n">
        <f>72877</f>
        <v>72877.0</v>
      </c>
      <c r="E21" s="22" t="n">
        <f>27269</f>
        <v>27269.0</v>
      </c>
      <c r="F21" s="23" t="n">
        <f>0.852</f>
        <v>0.852</v>
      </c>
      <c r="G21" s="21" t="n">
        <f>39031443558</f>
        <v>3.9031443558E10</v>
      </c>
      <c r="H21" s="22" t="n">
        <f>29480548458</f>
        <v>2.9480548458E10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142392</f>
        <v>142392.0</v>
      </c>
      <c r="E22" s="26" t="n">
        <f>41754</f>
        <v>41754.0</v>
      </c>
      <c r="F22" s="27" t="n">
        <f>0.901</f>
        <v>0.901</v>
      </c>
      <c r="G22" s="25" t="n">
        <f>58524713632</f>
        <v>5.8524713632E10</v>
      </c>
      <c r="H22" s="26" t="n">
        <f>42337557132</f>
        <v>4.2337557132E10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2655</f>
        <v>2655.0</v>
      </c>
      <c r="E24" s="22" t="n">
        <f>715</f>
        <v>715.0</v>
      </c>
      <c r="F24" s="23" t="n">
        <f>0.062</f>
        <v>0.062</v>
      </c>
      <c r="G24" s="21" t="n">
        <f>103517900</f>
        <v>1.035179E8</v>
      </c>
      <c r="H24" s="22" t="n">
        <f>58987500</f>
        <v>5.89875E7</v>
      </c>
      <c r="I24" s="23" t="n">
        <f>0.007</f>
        <v>0.007</v>
      </c>
    </row>
    <row r="25" spans="1:9" ht="24.9" customHeight="1">
      <c r="A25" s="41"/>
      <c r="B25" s="39"/>
      <c r="C25" s="20" t="s">
        <v>17</v>
      </c>
      <c r="D25" s="21" t="n">
        <f>12492</f>
        <v>12492.0</v>
      </c>
      <c r="E25" s="22" t="n">
        <f>2100</f>
        <v>2100.0</v>
      </c>
      <c r="F25" s="23" t="n">
        <f>0.146</f>
        <v>0.146</v>
      </c>
      <c r="G25" s="21" t="n">
        <f>66559300</f>
        <v>6.65593E7</v>
      </c>
      <c r="H25" s="22" t="n">
        <f>14890000</f>
        <v>1.489E7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15147</f>
        <v>15147.0</v>
      </c>
      <c r="E26" s="26" t="n">
        <f>2815</f>
        <v>2815.0</v>
      </c>
      <c r="F26" s="27" t="n">
        <f>0.096</f>
        <v>0.096</v>
      </c>
      <c r="G26" s="25" t="n">
        <f>170077200</f>
        <v>1.700772E8</v>
      </c>
      <c r="H26" s="26" t="n">
        <f>73877500</f>
        <v>7.38775E7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46310.0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46310.0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13072.0</v>
      </c>
      <c r="F12" s="18" t="n">
        <f>871</f>
        <v>871.0</v>
      </c>
      <c r="G12" s="17" t="n">
        <v>8.8249525019E11</v>
      </c>
      <c r="H12" s="18" t="n">
        <f>59365679190</f>
        <v>5.936567919E10</v>
      </c>
    </row>
    <row r="13" spans="1:8" ht="24.9" customHeight="1">
      <c r="A13" s="51"/>
      <c r="B13" s="57"/>
      <c r="C13" s="39"/>
      <c r="D13" s="20" t="s">
        <v>16</v>
      </c>
      <c r="E13" s="21" t="n">
        <v>20004.0</v>
      </c>
      <c r="F13" s="22" t="n">
        <f>1738</f>
        <v>1738.0</v>
      </c>
      <c r="G13" s="21" t="n">
        <v>1.3115119926E12</v>
      </c>
      <c r="H13" s="22" t="n">
        <f>114350084600</f>
        <v>1.143500846E11</v>
      </c>
    </row>
    <row r="14" spans="1:8" ht="24.9" customHeight="1">
      <c r="A14" s="51"/>
      <c r="B14" s="57"/>
      <c r="C14" s="39"/>
      <c r="D14" s="20" t="s">
        <v>17</v>
      </c>
      <c r="E14" s="21" t="n">
        <v>38127.0</v>
      </c>
      <c r="F14" s="22" t="n">
        <f>11425</f>
        <v>11425.0</v>
      </c>
      <c r="G14" s="21" t="n">
        <v>2.46681479304E12</v>
      </c>
      <c r="H14" s="22" t="n">
        <f>739662313040</f>
        <v>7.3966231304E11</v>
      </c>
    </row>
    <row r="15" spans="1:8" ht="24.9" customHeight="1">
      <c r="A15" s="51"/>
      <c r="B15" s="57"/>
      <c r="C15" s="39"/>
      <c r="D15" s="24" t="s">
        <v>18</v>
      </c>
      <c r="E15" s="25" t="n">
        <v>71203.0</v>
      </c>
      <c r="F15" s="26" t="n">
        <f>14034</f>
        <v>14034.0</v>
      </c>
      <c r="G15" s="25" t="n">
        <v>4.66082203583E12</v>
      </c>
      <c r="H15" s="26" t="n">
        <f>913378076830</f>
        <v>9.1337807683E11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327600.0</v>
      </c>
      <c r="F16" s="18" t="n">
        <f>38787</f>
        <v>38787.0</v>
      </c>
      <c r="G16" s="17" t="n">
        <v>2.21505935612E12</v>
      </c>
      <c r="H16" s="18" t="n">
        <f>262449109620</f>
        <v>2.6244910962E11</v>
      </c>
    </row>
    <row r="17" spans="1:8" ht="24.9" customHeight="1">
      <c r="A17" s="51"/>
      <c r="B17" s="57"/>
      <c r="C17" s="39"/>
      <c r="D17" s="20" t="s">
        <v>16</v>
      </c>
      <c r="E17" s="21" t="n">
        <v>276964.0</v>
      </c>
      <c r="F17" s="22" t="n">
        <f>20161</f>
        <v>20161.0</v>
      </c>
      <c r="G17" s="21" t="n">
        <v>1.81562509884E12</v>
      </c>
      <c r="H17" s="22" t="n">
        <f>132107704340</f>
        <v>1.3210770434E11</v>
      </c>
    </row>
    <row r="18" spans="1:8" ht="24.9" customHeight="1">
      <c r="A18" s="51"/>
      <c r="B18" s="57"/>
      <c r="C18" s="39"/>
      <c r="D18" s="20" t="s">
        <v>17</v>
      </c>
      <c r="E18" s="21" t="n">
        <v>346921.0</v>
      </c>
      <c r="F18" s="22" t="n">
        <f>32220</f>
        <v>32220.0</v>
      </c>
      <c r="G18" s="21" t="n">
        <v>2.24323558725E12</v>
      </c>
      <c r="H18" s="22" t="n">
        <f>208194184250</f>
        <v>2.0819418425E11</v>
      </c>
    </row>
    <row r="19" spans="1:8" ht="24.9" customHeight="1">
      <c r="A19" s="51"/>
      <c r="B19" s="57"/>
      <c r="C19" s="39"/>
      <c r="D19" s="24" t="s">
        <v>18</v>
      </c>
      <c r="E19" s="25" t="n">
        <v>951485.0</v>
      </c>
      <c r="F19" s="26" t="n">
        <f>91168</f>
        <v>91168.0</v>
      </c>
      <c r="G19" s="25" t="n">
        <v>6.27392004221E12</v>
      </c>
      <c r="H19" s="26" t="n">
        <f>602750998210</f>
        <v>6.0275099821E11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558564.0</v>
      </c>
      <c r="F20" s="18" t="str">
        <f>"－"</f>
        <v>－</v>
      </c>
      <c r="G20" s="17" t="n">
        <v>3.776757423E11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340916.0</v>
      </c>
      <c r="F21" s="22" t="str">
        <f>"－"</f>
        <v>－</v>
      </c>
      <c r="G21" s="21" t="n">
        <v>2.234951685E11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378734.0</v>
      </c>
      <c r="F22" s="22" t="str">
        <f>"－"</f>
        <v>－</v>
      </c>
      <c r="G22" s="21" t="n">
        <v>2.4485218395E11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1278214.0</v>
      </c>
      <c r="F23" s="26" t="str">
        <f>"－"</f>
        <v>－</v>
      </c>
      <c r="G23" s="25" t="n">
        <v>8.4602309475E11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16507.0</v>
      </c>
      <c r="F24" s="18" t="n">
        <f>2038</f>
        <v>2038.0</v>
      </c>
      <c r="G24" s="17" t="n">
        <v>6.773198645E11</v>
      </c>
      <c r="H24" s="18" t="n">
        <f>84058789500</f>
        <v>8.40587895E10</v>
      </c>
    </row>
    <row r="25" spans="1:8" ht="24.9" customHeight="1">
      <c r="A25" s="51"/>
      <c r="B25" s="57"/>
      <c r="C25" s="39"/>
      <c r="D25" s="20" t="s">
        <v>16</v>
      </c>
      <c r="E25" s="21" t="n">
        <v>22459.0</v>
      </c>
      <c r="F25" s="22" t="n">
        <f>939</f>
        <v>939.0</v>
      </c>
      <c r="G25" s="21" t="n">
        <v>9.052320145E11</v>
      </c>
      <c r="H25" s="22" t="n">
        <f>37974244500</f>
        <v>3.79742445E10</v>
      </c>
    </row>
    <row r="26" spans="1:8" ht="24.9" customHeight="1">
      <c r="A26" s="51"/>
      <c r="B26" s="57"/>
      <c r="C26" s="39"/>
      <c r="D26" s="20" t="s">
        <v>17</v>
      </c>
      <c r="E26" s="21" t="n">
        <v>43015.0</v>
      </c>
      <c r="F26" s="22" t="n">
        <f>6376</f>
        <v>6376.0</v>
      </c>
      <c r="G26" s="21" t="n">
        <v>1.7243495679E12</v>
      </c>
      <c r="H26" s="22" t="n">
        <f>255677402900</f>
        <v>2.556774029E11</v>
      </c>
    </row>
    <row r="27" spans="1:8" ht="24.9" customHeight="1">
      <c r="A27" s="51"/>
      <c r="B27" s="57"/>
      <c r="C27" s="39"/>
      <c r="D27" s="24" t="s">
        <v>18</v>
      </c>
      <c r="E27" s="25" t="n">
        <v>81981.0</v>
      </c>
      <c r="F27" s="26" t="n">
        <f>9353</f>
        <v>9353.0</v>
      </c>
      <c r="G27" s="25" t="n">
        <v>3.3069014469E12</v>
      </c>
      <c r="H27" s="26" t="n">
        <f>377710436900</f>
        <v>3.777104369E11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7705.0</v>
      </c>
      <c r="F28" s="18" t="n">
        <f>810</f>
        <v>810.0</v>
      </c>
      <c r="G28" s="17" t="n">
        <v>3.163676925E10</v>
      </c>
      <c r="H28" s="18" t="n">
        <f>3327152000</f>
        <v>3.327152E9</v>
      </c>
    </row>
    <row r="29" spans="1:8" ht="24.9" customHeight="1">
      <c r="A29" s="51"/>
      <c r="B29" s="57"/>
      <c r="C29" s="39"/>
      <c r="D29" s="20" t="s">
        <v>16</v>
      </c>
      <c r="E29" s="21" t="n">
        <v>11304.0</v>
      </c>
      <c r="F29" s="22" t="n">
        <f>333</f>
        <v>333.0</v>
      </c>
      <c r="G29" s="21" t="n">
        <v>4.557597875E10</v>
      </c>
      <c r="H29" s="22" t="n">
        <f>1342542000</f>
        <v>1.342542E9</v>
      </c>
    </row>
    <row r="30" spans="1:8" ht="24.9" customHeight="1">
      <c r="A30" s="51"/>
      <c r="B30" s="57"/>
      <c r="C30" s="39"/>
      <c r="D30" s="20" t="s">
        <v>17</v>
      </c>
      <c r="E30" s="21" t="n">
        <v>14459.0</v>
      </c>
      <c r="F30" s="22" t="n">
        <f>306</f>
        <v>306.0</v>
      </c>
      <c r="G30" s="21" t="n">
        <v>5.79483716E10</v>
      </c>
      <c r="H30" s="22" t="n">
        <f>1225796850</f>
        <v>1.22579685E9</v>
      </c>
    </row>
    <row r="31" spans="1:8" ht="24.9" customHeight="1">
      <c r="A31" s="51"/>
      <c r="B31" s="57"/>
      <c r="C31" s="39"/>
      <c r="D31" s="24" t="s">
        <v>18</v>
      </c>
      <c r="E31" s="25" t="n">
        <v>33468.0</v>
      </c>
      <c r="F31" s="26" t="n">
        <f>1449</f>
        <v>1449.0</v>
      </c>
      <c r="G31" s="25" t="n">
        <v>1.351611196E11</v>
      </c>
      <c r="H31" s="26" t="n">
        <f>5895490850</f>
        <v>5.89549085E9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360.0</v>
      </c>
      <c r="F36" s="18" t="n">
        <f>0</f>
        <v>0.0</v>
      </c>
      <c r="G36" s="17" t="n">
        <v>1.335799E9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1291.0</v>
      </c>
      <c r="F37" s="22" t="n">
        <f>0</f>
        <v>0.0</v>
      </c>
      <c r="G37" s="21" t="n">
        <v>4.6994635E9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2463.0</v>
      </c>
      <c r="F38" s="22" t="n">
        <f>2</f>
        <v>2.0</v>
      </c>
      <c r="G38" s="21" t="n">
        <v>8.91705699E9</v>
      </c>
      <c r="H38" s="22" t="n">
        <f>7248490</f>
        <v>7248490.0</v>
      </c>
    </row>
    <row r="39" spans="1:8" ht="24.9" customHeight="1">
      <c r="A39" s="51"/>
      <c r="B39" s="57"/>
      <c r="C39" s="39"/>
      <c r="D39" s="24" t="s">
        <v>18</v>
      </c>
      <c r="E39" s="25" t="n">
        <v>4114.0</v>
      </c>
      <c r="F39" s="26" t="n">
        <f>2</f>
        <v>2.0</v>
      </c>
      <c r="G39" s="25" t="n">
        <v>1.495231949E10</v>
      </c>
      <c r="H39" s="26" t="n">
        <f>7248490</f>
        <v>7248490.0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129.0</v>
      </c>
      <c r="F49" s="22" t="n">
        <f>0</f>
        <v>0.0</v>
      </c>
      <c r="G49" s="21" t="n">
        <v>2.123745E8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2364.0</v>
      </c>
      <c r="F50" s="22" t="n">
        <f>2356</f>
        <v>2356.0</v>
      </c>
      <c r="G50" s="21" t="n">
        <v>3.93267327E9</v>
      </c>
      <c r="H50" s="22" t="n">
        <f>3919397270</f>
        <v>3.91939727E9</v>
      </c>
    </row>
    <row r="51" spans="1:8" ht="24.9" customHeight="1">
      <c r="A51" s="51"/>
      <c r="B51" s="57"/>
      <c r="C51" s="39"/>
      <c r="D51" s="24" t="s">
        <v>18</v>
      </c>
      <c r="E51" s="25" t="n">
        <v>2493.0</v>
      </c>
      <c r="F51" s="26" t="n">
        <f>2356</f>
        <v>2356.0</v>
      </c>
      <c r="G51" s="25" t="n">
        <v>4.14504777E9</v>
      </c>
      <c r="H51" s="26" t="n">
        <f>3919397270</f>
        <v>3.91939727E9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715.0</v>
      </c>
      <c r="F56" s="18" t="n">
        <f>10</f>
        <v>10.0</v>
      </c>
      <c r="G56" s="17" t="n">
        <v>5.520659E8</v>
      </c>
      <c r="H56" s="18" t="n">
        <f>7709900</f>
        <v>7709900.0</v>
      </c>
    </row>
    <row r="57" spans="1:8" ht="24.9" customHeight="1">
      <c r="A57" s="51"/>
      <c r="B57" s="57"/>
      <c r="C57" s="39"/>
      <c r="D57" s="20" t="s">
        <v>16</v>
      </c>
      <c r="E57" s="21" t="n">
        <v>1461.0</v>
      </c>
      <c r="F57" s="22" t="n">
        <f>30</f>
        <v>30.0</v>
      </c>
      <c r="G57" s="21" t="n">
        <v>1.1068552E9</v>
      </c>
      <c r="H57" s="22" t="n">
        <f>22618200</f>
        <v>2.26182E7</v>
      </c>
    </row>
    <row r="58" spans="1:8" ht="24.9" customHeight="1">
      <c r="A58" s="51"/>
      <c r="B58" s="57"/>
      <c r="C58" s="39"/>
      <c r="D58" s="20" t="s">
        <v>17</v>
      </c>
      <c r="E58" s="21" t="n">
        <v>1853.0</v>
      </c>
      <c r="F58" s="22" t="n">
        <f>76</f>
        <v>76.0</v>
      </c>
      <c r="G58" s="21" t="n">
        <v>1.39608118E9</v>
      </c>
      <c r="H58" s="22" t="n">
        <f>57431180</f>
        <v>5.743118E7</v>
      </c>
    </row>
    <row r="59" spans="1:8" ht="24.9" customHeight="1">
      <c r="A59" s="51"/>
      <c r="B59" s="57"/>
      <c r="C59" s="39"/>
      <c r="D59" s="24" t="s">
        <v>18</v>
      </c>
      <c r="E59" s="25" t="n">
        <v>4029.0</v>
      </c>
      <c r="F59" s="26" t="n">
        <f>116</f>
        <v>116.0</v>
      </c>
      <c r="G59" s="25" t="n">
        <v>3.05500228E9</v>
      </c>
      <c r="H59" s="26" t="n">
        <f>87759280</f>
        <v>8.775928E7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233.0</v>
      </c>
      <c r="F60" s="18" t="n">
        <f>14</f>
        <v>14.0</v>
      </c>
      <c r="G60" s="17" t="n">
        <v>1.208841E9</v>
      </c>
      <c r="H60" s="18" t="n">
        <f>72590100</f>
        <v>7.25901E7</v>
      </c>
    </row>
    <row r="61" spans="1:8" ht="24.9" customHeight="1">
      <c r="A61" s="51"/>
      <c r="B61" s="57"/>
      <c r="C61" s="39"/>
      <c r="D61" s="20" t="s">
        <v>16</v>
      </c>
      <c r="E61" s="21" t="n">
        <v>48.0</v>
      </c>
      <c r="F61" s="22" t="n">
        <f>9</f>
        <v>9.0</v>
      </c>
      <c r="G61" s="21" t="n">
        <v>2.4885741E8</v>
      </c>
      <c r="H61" s="22" t="n">
        <f>46638710</f>
        <v>4.663871E7</v>
      </c>
    </row>
    <row r="62" spans="1:8" ht="24.9" customHeight="1">
      <c r="A62" s="51"/>
      <c r="B62" s="57"/>
      <c r="C62" s="39"/>
      <c r="D62" s="20" t="s">
        <v>17</v>
      </c>
      <c r="E62" s="21" t="n">
        <v>67.0</v>
      </c>
      <c r="F62" s="22" t="n">
        <f>0</f>
        <v>0.0</v>
      </c>
      <c r="G62" s="21" t="n">
        <v>3.474997E8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348.0</v>
      </c>
      <c r="F63" s="26" t="n">
        <f>23</f>
        <v>23.0</v>
      </c>
      <c r="G63" s="25" t="n">
        <v>1.80519811E9</v>
      </c>
      <c r="H63" s="26" t="n">
        <f>119228810</f>
        <v>1.1922881E8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15.0</v>
      </c>
      <c r="F73" s="22" t="n">
        <f>0</f>
        <v>0.0</v>
      </c>
      <c r="G73" s="21" t="n">
        <v>2.01E7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15.0</v>
      </c>
      <c r="F75" s="26" t="n">
        <f>0</f>
        <v>0.0</v>
      </c>
      <c r="G75" s="25" t="n">
        <v>2.01E7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36.0</v>
      </c>
      <c r="F77" s="22" t="n">
        <f>0</f>
        <v>0.0</v>
      </c>
      <c r="G77" s="21" t="n">
        <v>1.14855E7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30.0</v>
      </c>
      <c r="F78" s="22" t="n">
        <f>0</f>
        <v>0.0</v>
      </c>
      <c r="G78" s="21" t="n">
        <v>9770500.0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66.0</v>
      </c>
      <c r="F79" s="26" t="n">
        <f>0</f>
        <v>0.0</v>
      </c>
      <c r="G79" s="25" t="n">
        <v>2.1256E7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143.0</v>
      </c>
      <c r="F92" s="18" t="n">
        <f>0</f>
        <v>0.0</v>
      </c>
      <c r="G92" s="17" t="n">
        <v>2.256839E8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67.0</v>
      </c>
      <c r="F93" s="22" t="n">
        <f>0</f>
        <v>0.0</v>
      </c>
      <c r="G93" s="21" t="n">
        <v>1.05264E8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269.0</v>
      </c>
      <c r="F94" s="22" t="n">
        <f>0</f>
        <v>0.0</v>
      </c>
      <c r="G94" s="21" t="n">
        <v>4.225739E8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479.0</v>
      </c>
      <c r="F95" s="26" t="n">
        <f>0</f>
        <v>0.0</v>
      </c>
      <c r="G95" s="25" t="n">
        <v>7.535218E8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11.0</v>
      </c>
      <c r="F96" s="18" t="n">
        <f>0</f>
        <v>0.0</v>
      </c>
      <c r="G96" s="17" t="n">
        <v>2.59942E7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25.0</v>
      </c>
      <c r="F97" s="22" t="n">
        <f>0</f>
        <v>0.0</v>
      </c>
      <c r="G97" s="21" t="n">
        <v>5.89565E7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59.0</v>
      </c>
      <c r="F98" s="22" t="n">
        <f>0</f>
        <v>0.0</v>
      </c>
      <c r="G98" s="21" t="n">
        <v>1.391173E8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95.0</v>
      </c>
      <c r="F99" s="26" t="n">
        <f>0</f>
        <v>0.0</v>
      </c>
      <c r="G99" s="25" t="n">
        <v>2.24068E8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50.0</v>
      </c>
      <c r="F102" s="22" t="n">
        <f>0</f>
        <v>0.0</v>
      </c>
      <c r="G102" s="21" t="n">
        <v>8.828E7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50.0</v>
      </c>
      <c r="F103" s="26" t="n">
        <f>0</f>
        <v>0.0</v>
      </c>
      <c r="G103" s="25" t="n">
        <v>8.828E7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18387.0</v>
      </c>
      <c r="F108" s="18" t="n">
        <f>79</f>
        <v>79.0</v>
      </c>
      <c r="G108" s="17" t="n">
        <v>2.295037265E12</v>
      </c>
      <c r="H108" s="18" t="n">
        <f>9870725000</f>
        <v>9.870725E9</v>
      </c>
    </row>
    <row r="109" spans="1:8" ht="24.9" customHeight="1">
      <c r="A109" s="51"/>
      <c r="B109" s="57"/>
      <c r="C109" s="39"/>
      <c r="D109" s="20" t="s">
        <v>16</v>
      </c>
      <c r="E109" s="21" t="n">
        <v>27531.0</v>
      </c>
      <c r="F109" s="22" t="n">
        <f>901</f>
        <v>901.0</v>
      </c>
      <c r="G109" s="21" t="n">
        <v>3.45334506E12</v>
      </c>
      <c r="H109" s="22" t="n">
        <f>112891650000</f>
        <v>1.1289165E11</v>
      </c>
    </row>
    <row r="110" spans="1:8" ht="24.9" customHeight="1">
      <c r="A110" s="51"/>
      <c r="B110" s="57"/>
      <c r="C110" s="39"/>
      <c r="D110" s="20" t="s">
        <v>17</v>
      </c>
      <c r="E110" s="21" t="n">
        <v>23552.0</v>
      </c>
      <c r="F110" s="22" t="n">
        <f>3326</f>
        <v>3326.0</v>
      </c>
      <c r="G110" s="21" t="n">
        <v>2.958841595E12</v>
      </c>
      <c r="H110" s="22" t="n">
        <f>417845075000</f>
        <v>4.17845075E11</v>
      </c>
    </row>
    <row r="111" spans="1:8" ht="24.9" customHeight="1">
      <c r="A111" s="51"/>
      <c r="B111" s="57"/>
      <c r="C111" s="39"/>
      <c r="D111" s="24" t="s">
        <v>18</v>
      </c>
      <c r="E111" s="25" t="n">
        <v>69470.0</v>
      </c>
      <c r="F111" s="26" t="n">
        <f>4306</f>
        <v>4306.0</v>
      </c>
      <c r="G111" s="25" t="n">
        <v>8.70722392E12</v>
      </c>
      <c r="H111" s="26" t="n">
        <f>540607450000</f>
        <v>5.4060745E11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3317.0</v>
      </c>
      <c r="F113" s="22" t="n">
        <f>0</f>
        <v>0.0</v>
      </c>
      <c r="G113" s="21" t="n">
        <v>4.161049E10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1719.0</v>
      </c>
      <c r="F114" s="22" t="n">
        <f>0</f>
        <v>0.0</v>
      </c>
      <c r="G114" s="21" t="n">
        <v>2.1596988E10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5036.0</v>
      </c>
      <c r="F115" s="26" t="n">
        <f>0</f>
        <v>0.0</v>
      </c>
      <c r="G115" s="25" t="n">
        <v>6.3207478E10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100.0</v>
      </c>
      <c r="F118" s="22" t="n">
        <f>0</f>
        <v>0.0</v>
      </c>
      <c r="G118" s="21" t="n">
        <v>8.9375E8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100.0</v>
      </c>
      <c r="F119" s="26" t="n">
        <f>0</f>
        <v>0.0</v>
      </c>
      <c r="G119" s="25" t="n">
        <v>8.9375E8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1509.0</v>
      </c>
      <c r="F120" s="18" t="n">
        <f>0</f>
        <v>0.0</v>
      </c>
      <c r="G120" s="17" t="n">
        <v>3.7202155E10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1123.0</v>
      </c>
      <c r="F121" s="22" t="n">
        <f>0</f>
        <v>0.0</v>
      </c>
      <c r="G121" s="21" t="n">
        <v>2.7686875625E10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975.0</v>
      </c>
      <c r="F122" s="22" t="n">
        <f>0</f>
        <v>0.0</v>
      </c>
      <c r="G122" s="21" t="n">
        <v>2.399375125E10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3607.0</v>
      </c>
      <c r="F123" s="26" t="n">
        <f>0</f>
        <v>0.0</v>
      </c>
      <c r="G123" s="25" t="n">
        <v>8.8882781875E10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8668.0</v>
      </c>
      <c r="F124" s="18" t="n">
        <f>0</f>
        <v>0.0</v>
      </c>
      <c r="G124" s="17" t="n">
        <v>1.85750073E11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2410.0</v>
      </c>
      <c r="F125" s="22" t="n">
        <f>0</f>
        <v>0.0</v>
      </c>
      <c r="G125" s="21" t="n">
        <v>5.1653271E10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1705.0</v>
      </c>
      <c r="F126" s="22" t="n">
        <f>0</f>
        <v>0.0</v>
      </c>
      <c r="G126" s="21" t="n">
        <v>3.6588263E10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12783.0</v>
      </c>
      <c r="F127" s="26" t="n">
        <f>0</f>
        <v>0.0</v>
      </c>
      <c r="G127" s="25" t="n">
        <v>2.73991607E11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654.0</v>
      </c>
      <c r="F128" s="18" t="n">
        <f>0</f>
        <v>0.0</v>
      </c>
      <c r="G128" s="17" t="n">
        <v>1.3928082E9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160.0</v>
      </c>
      <c r="F129" s="22" t="n">
        <f>0</f>
        <v>0.0</v>
      </c>
      <c r="G129" s="21" t="n">
        <v>3.390877E8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1992.0</v>
      </c>
      <c r="F130" s="22" t="n">
        <f>0</f>
        <v>0.0</v>
      </c>
      <c r="G130" s="21" t="n">
        <v>4.2287239E9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2806.0</v>
      </c>
      <c r="F131" s="26" t="n">
        <f>0</f>
        <v>0.0</v>
      </c>
      <c r="G131" s="25" t="n">
        <v>5.9606198E9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6805.0</v>
      </c>
      <c r="F132" s="18" t="n">
        <f>0</f>
        <v>0.0</v>
      </c>
      <c r="G132" s="17" t="n">
        <v>1.46559036E10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2343.0</v>
      </c>
      <c r="F133" s="22" t="n">
        <f>0</f>
        <v>0.0</v>
      </c>
      <c r="G133" s="21" t="n">
        <v>5.04566595E9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2196.0</v>
      </c>
      <c r="F134" s="22" t="n">
        <f>0</f>
        <v>0.0</v>
      </c>
      <c r="G134" s="21" t="n">
        <v>4.73958055E9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11344.0</v>
      </c>
      <c r="F135" s="26" t="n">
        <f>0</f>
        <v>0.0</v>
      </c>
      <c r="G135" s="25" t="n">
        <v>2.44411501E10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92.0</v>
      </c>
      <c r="F136" s="18" t="n">
        <f>0</f>
        <v>0.0</v>
      </c>
      <c r="G136" s="17" t="n">
        <v>1.927129E8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16.0</v>
      </c>
      <c r="F137" s="22" t="n">
        <f>0</f>
        <v>0.0</v>
      </c>
      <c r="G137" s="21" t="n">
        <v>3.34226E7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43.0</v>
      </c>
      <c r="F138" s="22" t="n">
        <f>0</f>
        <v>0.0</v>
      </c>
      <c r="G138" s="21" t="n">
        <v>9.01261E7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151.0</v>
      </c>
      <c r="F139" s="26" t="n">
        <f>0</f>
        <v>0.0</v>
      </c>
      <c r="G139" s="25" t="n">
        <v>3.162616E8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4.0</v>
      </c>
      <c r="F142" s="22" t="n">
        <f>0</f>
        <v>0.0</v>
      </c>
      <c r="G142" s="21" t="n">
        <v>3.318E7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4.0</v>
      </c>
      <c r="F143" s="26" t="n">
        <f>0</f>
        <v>0.0</v>
      </c>
      <c r="G143" s="25" t="n">
        <v>3.318E7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1299.0</v>
      </c>
      <c r="F144" s="18" t="n">
        <f>0</f>
        <v>0.0</v>
      </c>
      <c r="G144" s="17" t="n">
        <v>5.2701625E9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851.0</v>
      </c>
      <c r="F145" s="22" t="n">
        <f>0</f>
        <v>0.0</v>
      </c>
      <c r="G145" s="21" t="n">
        <v>3.3955745E9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1491.0</v>
      </c>
      <c r="F146" s="22" t="n">
        <f>0</f>
        <v>0.0</v>
      </c>
      <c r="G146" s="21" t="n">
        <v>5.921329E9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3641.0</v>
      </c>
      <c r="F147" s="26" t="n">
        <f>0</f>
        <v>0.0</v>
      </c>
      <c r="G147" s="25" t="n">
        <v>1.4587066E10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512.0</v>
      </c>
      <c r="F148" s="18" t="n">
        <f>0</f>
        <v>0.0</v>
      </c>
      <c r="G148" s="17" t="n">
        <v>4.330989E8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298.0</v>
      </c>
      <c r="F149" s="22" t="n">
        <f>0</f>
        <v>0.0</v>
      </c>
      <c r="G149" s="21" t="n">
        <v>2.451669E8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3597.0</v>
      </c>
      <c r="F150" s="22" t="n">
        <f>0</f>
        <v>0.0</v>
      </c>
      <c r="G150" s="21" t="n">
        <v>2.9489535E9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4407.0</v>
      </c>
      <c r="F151" s="26" t="n">
        <f>0</f>
        <v>0.0</v>
      </c>
      <c r="G151" s="25" t="n">
        <v>3.6272193E9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496.0</v>
      </c>
      <c r="F152" s="18" t="n">
        <f>0</f>
        <v>0.0</v>
      </c>
      <c r="G152" s="17" t="n">
        <v>4.0425055E8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374.0</v>
      </c>
      <c r="F153" s="22" t="n">
        <f>1</f>
        <v>1.0</v>
      </c>
      <c r="G153" s="21" t="n">
        <v>2.9947005E8</v>
      </c>
      <c r="H153" s="22" t="n">
        <f>805000</f>
        <v>805000.0</v>
      </c>
    </row>
    <row r="154" spans="1:8" ht="24.9" customHeight="1">
      <c r="A154" s="51"/>
      <c r="B154" s="57"/>
      <c r="C154" s="39"/>
      <c r="D154" s="20" t="s">
        <v>17</v>
      </c>
      <c r="E154" s="21" t="n">
        <v>715.0</v>
      </c>
      <c r="F154" s="22" t="n">
        <f>0</f>
        <v>0.0</v>
      </c>
      <c r="G154" s="21" t="n">
        <v>5.7049065E8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1585.0</v>
      </c>
      <c r="F155" s="26" t="n">
        <f>1</f>
        <v>1.0</v>
      </c>
      <c r="G155" s="25" t="n">
        <v>1.27421125E9</v>
      </c>
      <c r="H155" s="26" t="n">
        <f>805000</f>
        <v>805000.0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131.0</v>
      </c>
      <c r="F156" s="18" t="n">
        <f>0</f>
        <v>0.0</v>
      </c>
      <c r="G156" s="17" t="n">
        <v>1.091843E8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87.0</v>
      </c>
      <c r="F157" s="22" t="n">
        <f>0</f>
        <v>0.0</v>
      </c>
      <c r="G157" s="21" t="n">
        <v>7.09403E7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355.0</v>
      </c>
      <c r="F158" s="22" t="n">
        <f>0</f>
        <v>0.0</v>
      </c>
      <c r="G158" s="21" t="n">
        <v>2.867165E8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573.0</v>
      </c>
      <c r="F159" s="26" t="n">
        <f>0</f>
        <v>0.0</v>
      </c>
      <c r="G159" s="25" t="n">
        <v>4.668411E8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71.0</v>
      </c>
      <c r="F168" s="18" t="n">
        <f>0</f>
        <v>0.0</v>
      </c>
      <c r="G168" s="17" t="n">
        <v>1.609165E8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468.0</v>
      </c>
      <c r="F169" s="22" t="n">
        <f>0</f>
        <v>0.0</v>
      </c>
      <c r="G169" s="21" t="n">
        <v>1.043991E9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397.0</v>
      </c>
      <c r="F170" s="22" t="n">
        <f>0</f>
        <v>0.0</v>
      </c>
      <c r="G170" s="21" t="n">
        <v>8.83618E8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936.0</v>
      </c>
      <c r="F171" s="26" t="n">
        <f>0</f>
        <v>0.0</v>
      </c>
      <c r="G171" s="25" t="n">
        <v>2.0885255E9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2.0</v>
      </c>
      <c r="F177" s="22" t="n">
        <f>0</f>
        <v>0.0</v>
      </c>
      <c r="G177" s="21" t="n">
        <v>3931000.0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16.0</v>
      </c>
      <c r="F178" s="22" t="n">
        <f>0</f>
        <v>0.0</v>
      </c>
      <c r="G178" s="21" t="n">
        <v>3.1452E7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18.0</v>
      </c>
      <c r="F179" s="26" t="n">
        <f>0</f>
        <v>0.0</v>
      </c>
      <c r="G179" s="25" t="n">
        <v>3.5383E7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532.0</v>
      </c>
      <c r="F204" s="18" t="n">
        <f>0</f>
        <v>0.0</v>
      </c>
      <c r="G204" s="17" t="n">
        <v>2.5700635E9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239.0</v>
      </c>
      <c r="F205" s="22" t="n">
        <f>0</f>
        <v>0.0</v>
      </c>
      <c r="G205" s="21" t="n">
        <v>1.1388215E9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2092.0</v>
      </c>
      <c r="F206" s="22" t="n">
        <f>0</f>
        <v>0.0</v>
      </c>
      <c r="G206" s="21" t="n">
        <v>9.8826375E9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2863.0</v>
      </c>
      <c r="F207" s="26" t="n">
        <f>0</f>
        <v>0.0</v>
      </c>
      <c r="G207" s="25" t="n">
        <v>1.35915225E10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30.0</v>
      </c>
      <c r="F208" s="18" t="n">
        <f>30</f>
        <v>30.0</v>
      </c>
      <c r="G208" s="17" t="n">
        <v>4.94592E7</v>
      </c>
      <c r="H208" s="18" t="n">
        <f>49459200</f>
        <v>4.94592E7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30.0</v>
      </c>
      <c r="F211" s="26" t="n">
        <f>30</f>
        <v>30.0</v>
      </c>
      <c r="G211" s="25" t="n">
        <v>4.94592E7</v>
      </c>
      <c r="H211" s="26" t="n">
        <f>49459200</f>
        <v>4.94592E7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9.0</v>
      </c>
      <c r="F222" s="22" t="n">
        <f>9</f>
        <v>9.0</v>
      </c>
      <c r="G222" s="21" t="n">
        <v>6577200.0</v>
      </c>
      <c r="H222" s="22" t="n">
        <f>6577200</f>
        <v>6577200.0</v>
      </c>
    </row>
    <row r="223" spans="1:8" ht="24.9" customHeight="1">
      <c r="A223" s="57"/>
      <c r="B223" s="59"/>
      <c r="C223" s="39"/>
      <c r="D223" s="24" t="s">
        <v>18</v>
      </c>
      <c r="E223" s="25" t="n">
        <v>9.0</v>
      </c>
      <c r="F223" s="26" t="n">
        <f>9</f>
        <v>9.0</v>
      </c>
      <c r="G223" s="25" t="n">
        <v>6577200.0</v>
      </c>
      <c r="H223" s="26" t="n">
        <f>6577200</f>
        <v>6577200.0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200.0</v>
      </c>
      <c r="F254" s="22" t="n">
        <f>200</f>
        <v>200.0</v>
      </c>
      <c r="G254" s="21" t="n">
        <v>3.0076416E9</v>
      </c>
      <c r="H254" s="22" t="n">
        <f>3007641600</f>
        <v>3.0076416E9</v>
      </c>
    </row>
    <row r="255" spans="1:8" ht="24.9" customHeight="1">
      <c r="A255" s="57"/>
      <c r="B255" s="59"/>
      <c r="C255" s="39"/>
      <c r="D255" s="24" t="s">
        <v>18</v>
      </c>
      <c r="E255" s="25" t="n">
        <v>200.0</v>
      </c>
      <c r="F255" s="26" t="n">
        <f>200</f>
        <v>200.0</v>
      </c>
      <c r="G255" s="25" t="n">
        <v>3.0076416E9</v>
      </c>
      <c r="H255" s="26" t="n">
        <f>3007641600</f>
        <v>3.0076416E9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46310.0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46310.0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5276</f>
        <v>5276.0</v>
      </c>
      <c r="E12" s="35" t="n">
        <f>3964</f>
        <v>3964.0</v>
      </c>
      <c r="F12" s="17" t="n">
        <f>1895</f>
        <v>1895.0</v>
      </c>
      <c r="G12" s="35" t="n">
        <f>672</f>
        <v>672.0</v>
      </c>
      <c r="H12" s="17" t="n">
        <f>7171</f>
        <v>7171.0</v>
      </c>
      <c r="I12" s="35" t="n">
        <f>4636</f>
        <v>4636.0</v>
      </c>
      <c r="J12" s="17" t="n">
        <f>2262452480</f>
        <v>2.26245248E9</v>
      </c>
      <c r="K12" s="35" t="n">
        <f>1808431480</f>
        <v>1.80843148E9</v>
      </c>
      <c r="L12" s="17" t="n">
        <f>1398627450</f>
        <v>1.39862745E9</v>
      </c>
      <c r="M12" s="35" t="n">
        <f>1104675450</f>
        <v>1.10467545E9</v>
      </c>
      <c r="N12" s="17" t="n">
        <f>3661079930</f>
        <v>3.66107993E9</v>
      </c>
      <c r="O12" s="35" t="n">
        <f>2913106930</f>
        <v>2.91310693E9</v>
      </c>
    </row>
    <row r="13" spans="1:15" ht="24.9" customHeight="1">
      <c r="A13" s="38"/>
      <c r="B13" s="62"/>
      <c r="C13" s="20" t="s">
        <v>16</v>
      </c>
      <c r="D13" s="21" t="n">
        <f>8639</f>
        <v>8639.0</v>
      </c>
      <c r="E13" s="36" t="n">
        <f>3013</f>
        <v>3013.0</v>
      </c>
      <c r="F13" s="21" t="n">
        <f>5357</f>
        <v>5357.0</v>
      </c>
      <c r="G13" s="36" t="n">
        <f>1558</f>
        <v>1558.0</v>
      </c>
      <c r="H13" s="21" t="n">
        <f>13996</f>
        <v>13996.0</v>
      </c>
      <c r="I13" s="36" t="n">
        <f>4571</f>
        <v>4571.0</v>
      </c>
      <c r="J13" s="21" t="n">
        <f>7151553650</f>
        <v>7.15155365E9</v>
      </c>
      <c r="K13" s="36" t="n">
        <f>3801972650</f>
        <v>3.80197265E9</v>
      </c>
      <c r="L13" s="21" t="n">
        <f>6114480160</f>
        <v>6.11448016E9</v>
      </c>
      <c r="M13" s="36" t="n">
        <f>5027125160</f>
        <v>5.02712516E9</v>
      </c>
      <c r="N13" s="21" t="n">
        <f>13266033810</f>
        <v>1.326603381E10</v>
      </c>
      <c r="O13" s="36" t="n">
        <f>8829097810</f>
        <v>8.82909781E9</v>
      </c>
    </row>
    <row r="14" spans="1:15" ht="24.9" customHeight="1">
      <c r="A14" s="38"/>
      <c r="B14" s="62"/>
      <c r="C14" s="20" t="s">
        <v>17</v>
      </c>
      <c r="D14" s="21" t="n">
        <f>25618</f>
        <v>25618.0</v>
      </c>
      <c r="E14" s="36" t="n">
        <f>15437</f>
        <v>15437.0</v>
      </c>
      <c r="F14" s="21" t="n">
        <f>12532</f>
        <v>12532.0</v>
      </c>
      <c r="G14" s="36" t="n">
        <f>8150</f>
        <v>8150.0</v>
      </c>
      <c r="H14" s="21" t="n">
        <f>38150</f>
        <v>38150.0</v>
      </c>
      <c r="I14" s="36" t="n">
        <f>23587</f>
        <v>23587.0</v>
      </c>
      <c r="J14" s="21" t="n">
        <f>26217357770</f>
        <v>2.621735777E10</v>
      </c>
      <c r="K14" s="36" t="n">
        <f>20329092770</f>
        <v>2.032909277E10</v>
      </c>
      <c r="L14" s="21" t="n">
        <f>10919437530</f>
        <v>1.091943753E10</v>
      </c>
      <c r="M14" s="36" t="n">
        <f>8615106530</f>
        <v>8.61510653E9</v>
      </c>
      <c r="N14" s="21" t="n">
        <f>37136795300</f>
        <v>3.71367953E10</v>
      </c>
      <c r="O14" s="36" t="n">
        <f>28944199300</f>
        <v>2.89441993E10</v>
      </c>
    </row>
    <row r="15" spans="1:15" ht="24.9" customHeight="1">
      <c r="A15" s="38"/>
      <c r="B15" s="62"/>
      <c r="C15" s="24" t="s">
        <v>18</v>
      </c>
      <c r="D15" s="25" t="n">
        <f>39533</f>
        <v>39533.0</v>
      </c>
      <c r="E15" s="37" t="n">
        <f>22414</f>
        <v>22414.0</v>
      </c>
      <c r="F15" s="25" t="n">
        <f>19784</f>
        <v>19784.0</v>
      </c>
      <c r="G15" s="37" t="n">
        <f>10380</f>
        <v>10380.0</v>
      </c>
      <c r="H15" s="25" t="n">
        <f>59317</f>
        <v>59317.0</v>
      </c>
      <c r="I15" s="37" t="n">
        <f>32794</f>
        <v>32794.0</v>
      </c>
      <c r="J15" s="25" t="n">
        <f>35631363900</f>
        <v>3.56313639E10</v>
      </c>
      <c r="K15" s="37" t="n">
        <f>25939496900</f>
        <v>2.59394969E10</v>
      </c>
      <c r="L15" s="25" t="n">
        <f>18432545140</f>
        <v>1.843254514E10</v>
      </c>
      <c r="M15" s="37" t="n">
        <f>14746907140</f>
        <v>1.474690714E10</v>
      </c>
      <c r="N15" s="25" t="n">
        <f>54063909040</f>
        <v>5.406390904E10</v>
      </c>
      <c r="O15" s="37" t="n">
        <f>40686404040</f>
        <v>4.068640404E10</v>
      </c>
    </row>
    <row r="16" spans="1:15" ht="24.9" customHeight="1">
      <c r="A16" s="38"/>
      <c r="B16" s="61" t="s">
        <v>105</v>
      </c>
      <c r="C16" s="16" t="s">
        <v>15</v>
      </c>
      <c r="D16" s="17" t="n">
        <f>11807</f>
        <v>11807.0</v>
      </c>
      <c r="E16" s="35" t="n">
        <f>1400</f>
        <v>1400.0</v>
      </c>
      <c r="F16" s="17" t="n">
        <f>9876</f>
        <v>9876.0</v>
      </c>
      <c r="G16" s="35" t="n">
        <f>810</f>
        <v>810.0</v>
      </c>
      <c r="H16" s="17" t="n">
        <f>21683</f>
        <v>21683.0</v>
      </c>
      <c r="I16" s="35" t="n">
        <f>2210</f>
        <v>2210.0</v>
      </c>
      <c r="J16" s="17" t="n">
        <f>277174080</f>
        <v>2.7717408E8</v>
      </c>
      <c r="K16" s="35" t="n">
        <f>7585680</f>
        <v>7585680.0</v>
      </c>
      <c r="L16" s="17" t="n">
        <f>207644110</f>
        <v>2.0764411E8</v>
      </c>
      <c r="M16" s="35" t="n">
        <f>5475010</f>
        <v>5475010.0</v>
      </c>
      <c r="N16" s="17" t="n">
        <f>484818190</f>
        <v>4.8481819E8</v>
      </c>
      <c r="O16" s="35" t="n">
        <f>13060690</f>
        <v>1.306069E7</v>
      </c>
    </row>
    <row r="17" spans="1:15" ht="24.9" customHeight="1">
      <c r="A17" s="38"/>
      <c r="B17" s="62"/>
      <c r="C17" s="20" t="s">
        <v>16</v>
      </c>
      <c r="D17" s="21" t="n">
        <f>14879</f>
        <v>14879.0</v>
      </c>
      <c r="E17" s="36" t="n">
        <f>790</f>
        <v>790.0</v>
      </c>
      <c r="F17" s="21" t="n">
        <f>10498</f>
        <v>10498.0</v>
      </c>
      <c r="G17" s="36" t="n">
        <f>990</f>
        <v>990.0</v>
      </c>
      <c r="H17" s="21" t="n">
        <f>25377</f>
        <v>25377.0</v>
      </c>
      <c r="I17" s="36" t="n">
        <f>1780</f>
        <v>1780.0</v>
      </c>
      <c r="J17" s="21" t="n">
        <f>757862190</f>
        <v>7.5786219E8</v>
      </c>
      <c r="K17" s="36" t="n">
        <f>7528390</f>
        <v>7528390.0</v>
      </c>
      <c r="L17" s="21" t="n">
        <f>233599050</f>
        <v>2.3359905E8</v>
      </c>
      <c r="M17" s="36" t="n">
        <f>4337950</f>
        <v>4337950.0</v>
      </c>
      <c r="N17" s="21" t="n">
        <f>991461240</f>
        <v>9.9146124E8</v>
      </c>
      <c r="O17" s="36" t="n">
        <f>11866340</f>
        <v>1.186634E7</v>
      </c>
    </row>
    <row r="18" spans="1:15" ht="24.9" customHeight="1">
      <c r="A18" s="38"/>
      <c r="B18" s="62"/>
      <c r="C18" s="20" t="s">
        <v>17</v>
      </c>
      <c r="D18" s="21" t="n">
        <f>16649</f>
        <v>16649.0</v>
      </c>
      <c r="E18" s="36" t="n">
        <f>1970</f>
        <v>1970.0</v>
      </c>
      <c r="F18" s="21" t="n">
        <f>17756</f>
        <v>17756.0</v>
      </c>
      <c r="G18" s="36" t="n">
        <f>1390</f>
        <v>1390.0</v>
      </c>
      <c r="H18" s="21" t="n">
        <f>34405</f>
        <v>34405.0</v>
      </c>
      <c r="I18" s="36" t="n">
        <f>3360</f>
        <v>3360.0</v>
      </c>
      <c r="J18" s="21" t="n">
        <f>938392750</f>
        <v>9.3839275E8</v>
      </c>
      <c r="K18" s="36" t="n">
        <f>37243750</f>
        <v>3.724375E7</v>
      </c>
      <c r="L18" s="21" t="n">
        <f>471252820</f>
        <v>4.7125282E8</v>
      </c>
      <c r="M18" s="36" t="n">
        <f>14102720</f>
        <v>1.410272E7</v>
      </c>
      <c r="N18" s="21" t="n">
        <f>1409645570</f>
        <v>1.40964557E9</v>
      </c>
      <c r="O18" s="36" t="n">
        <f>51346470</f>
        <v>5.134647E7</v>
      </c>
    </row>
    <row r="19" spans="1:15" ht="24.9" customHeight="1">
      <c r="A19" s="38"/>
      <c r="B19" s="62"/>
      <c r="C19" s="24" t="s">
        <v>18</v>
      </c>
      <c r="D19" s="25" t="n">
        <f>43335</f>
        <v>43335.0</v>
      </c>
      <c r="E19" s="37" t="n">
        <f>4160</f>
        <v>4160.0</v>
      </c>
      <c r="F19" s="25" t="n">
        <f>38130</f>
        <v>38130.0</v>
      </c>
      <c r="G19" s="37" t="n">
        <f>3190</f>
        <v>3190.0</v>
      </c>
      <c r="H19" s="25" t="n">
        <f>81465</f>
        <v>81465.0</v>
      </c>
      <c r="I19" s="37" t="n">
        <f>7350</f>
        <v>7350.0</v>
      </c>
      <c r="J19" s="25" t="n">
        <f>1973429020</f>
        <v>1.97342902E9</v>
      </c>
      <c r="K19" s="37" t="n">
        <f>52357820</f>
        <v>5.235782E7</v>
      </c>
      <c r="L19" s="25" t="n">
        <f>912495980</f>
        <v>9.1249598E8</v>
      </c>
      <c r="M19" s="37" t="n">
        <f>23915680</f>
        <v>2.391568E7</v>
      </c>
      <c r="N19" s="25" t="n">
        <f>2885925000</f>
        <v>2.885925E9</v>
      </c>
      <c r="O19" s="37" t="n">
        <f>76273500</f>
        <v>7.62735E7</v>
      </c>
    </row>
    <row r="20" spans="1:15" ht="24.9" customHeight="1">
      <c r="A20" s="38"/>
      <c r="B20" s="61" t="s">
        <v>106</v>
      </c>
      <c r="C20" s="16" t="s">
        <v>15</v>
      </c>
      <c r="D20" s="17" t="n">
        <f>888</f>
        <v>888.0</v>
      </c>
      <c r="E20" s="35" t="n">
        <f>888</f>
        <v>888.0</v>
      </c>
      <c r="F20" s="17" t="n">
        <f>0</f>
        <v>0.0</v>
      </c>
      <c r="G20" s="35" t="n">
        <f>0</f>
        <v>0.0</v>
      </c>
      <c r="H20" s="17" t="n">
        <f>888</f>
        <v>888.0</v>
      </c>
      <c r="I20" s="35" t="n">
        <f>888</f>
        <v>888.0</v>
      </c>
      <c r="J20" s="17" t="n">
        <f>482276904</f>
        <v>4.82276904E8</v>
      </c>
      <c r="K20" s="35" t="n">
        <f>482276904</f>
        <v>4.82276904E8</v>
      </c>
      <c r="L20" s="17" t="n">
        <f>0</f>
        <v>0.0</v>
      </c>
      <c r="M20" s="35" t="n">
        <f>0</f>
        <v>0.0</v>
      </c>
      <c r="N20" s="17" t="n">
        <f>482276904</f>
        <v>4.82276904E8</v>
      </c>
      <c r="O20" s="35" t="n">
        <f>482276904</f>
        <v>4.82276904E8</v>
      </c>
    </row>
    <row r="21" spans="1:15" ht="24.9" customHeight="1">
      <c r="A21" s="38"/>
      <c r="B21" s="62"/>
      <c r="C21" s="20" t="s">
        <v>16</v>
      </c>
      <c r="D21" s="21" t="n">
        <f>200</f>
        <v>200.0</v>
      </c>
      <c r="E21" s="36" t="n">
        <f>200</f>
        <v>200.0</v>
      </c>
      <c r="F21" s="21" t="n">
        <f>200</f>
        <v>200.0</v>
      </c>
      <c r="G21" s="36" t="n">
        <f>200</f>
        <v>200.0</v>
      </c>
      <c r="H21" s="21" t="n">
        <f>400</f>
        <v>400.0</v>
      </c>
      <c r="I21" s="36" t="n">
        <f>400</f>
        <v>400.0</v>
      </c>
      <c r="J21" s="21" t="n">
        <f>276820000</f>
        <v>2.7682E8</v>
      </c>
      <c r="K21" s="36" t="n">
        <f>276820000</f>
        <v>2.7682E8</v>
      </c>
      <c r="L21" s="21" t="n">
        <f>330780000</f>
        <v>3.3078E8</v>
      </c>
      <c r="M21" s="36" t="n">
        <f>330780000</f>
        <v>3.3078E8</v>
      </c>
      <c r="N21" s="21" t="n">
        <f>607600000</f>
        <v>6.076E8</v>
      </c>
      <c r="O21" s="36" t="n">
        <f>607600000</f>
        <v>6.076E8</v>
      </c>
    </row>
    <row r="22" spans="1:15" ht="24.9" customHeight="1">
      <c r="A22" s="38"/>
      <c r="B22" s="62"/>
      <c r="C22" s="20" t="s">
        <v>17</v>
      </c>
      <c r="D22" s="21" t="n">
        <f>322</f>
        <v>322.0</v>
      </c>
      <c r="E22" s="36" t="n">
        <f>322</f>
        <v>322.0</v>
      </c>
      <c r="F22" s="21" t="n">
        <f>0</f>
        <v>0.0</v>
      </c>
      <c r="G22" s="36" t="n">
        <f>0</f>
        <v>0.0</v>
      </c>
      <c r="H22" s="21" t="n">
        <f>322</f>
        <v>322.0</v>
      </c>
      <c r="I22" s="36" t="n">
        <f>322</f>
        <v>322.0</v>
      </c>
      <c r="J22" s="21" t="n">
        <f>485002688</f>
        <v>4.85002688E8</v>
      </c>
      <c r="K22" s="36" t="n">
        <f>485002688</f>
        <v>4.85002688E8</v>
      </c>
      <c r="L22" s="21" t="n">
        <f>0</f>
        <v>0.0</v>
      </c>
      <c r="M22" s="36" t="n">
        <f>0</f>
        <v>0.0</v>
      </c>
      <c r="N22" s="21" t="n">
        <f>485002688</f>
        <v>4.85002688E8</v>
      </c>
      <c r="O22" s="36" t="n">
        <f>485002688</f>
        <v>4.85002688E8</v>
      </c>
    </row>
    <row r="23" spans="1:15" ht="24.9" customHeight="1">
      <c r="A23" s="38"/>
      <c r="B23" s="62"/>
      <c r="C23" s="24" t="s">
        <v>18</v>
      </c>
      <c r="D23" s="25" t="n">
        <f>1410</f>
        <v>1410.0</v>
      </c>
      <c r="E23" s="37" t="n">
        <f>1410</f>
        <v>1410.0</v>
      </c>
      <c r="F23" s="25" t="n">
        <f>200</f>
        <v>200.0</v>
      </c>
      <c r="G23" s="37" t="n">
        <f>200</f>
        <v>200.0</v>
      </c>
      <c r="H23" s="25" t="n">
        <f>1610</f>
        <v>1610.0</v>
      </c>
      <c r="I23" s="37" t="n">
        <f>1610</f>
        <v>1610.0</v>
      </c>
      <c r="J23" s="25" t="n">
        <f>1244099592</f>
        <v>1.244099592E9</v>
      </c>
      <c r="K23" s="37" t="n">
        <f>1244099592</f>
        <v>1.244099592E9</v>
      </c>
      <c r="L23" s="25" t="n">
        <f>330780000</f>
        <v>3.3078E8</v>
      </c>
      <c r="M23" s="37" t="n">
        <f>330780000</f>
        <v>3.3078E8</v>
      </c>
      <c r="N23" s="25" t="n">
        <f>1574879592</f>
        <v>1.574879592E9</v>
      </c>
      <c r="O23" s="37" t="n">
        <f>1574879592</f>
        <v>1.574879592E9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6</f>
        <v>6.0</v>
      </c>
      <c r="G36" s="18" t="n">
        <f>0</f>
        <v>0.0</v>
      </c>
      <c r="H36" s="17" t="n">
        <f>6</f>
        <v>6.0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600000</f>
        <v>600000.0</v>
      </c>
      <c r="M36" s="18" t="n">
        <f>0</f>
        <v>0.0</v>
      </c>
      <c r="N36" s="17" t="n">
        <f>600000</f>
        <v>600000.0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134</f>
        <v>134.0</v>
      </c>
      <c r="E37" s="22" t="n">
        <f>0</f>
        <v>0.0</v>
      </c>
      <c r="F37" s="21" t="n">
        <f>142</f>
        <v>142.0</v>
      </c>
      <c r="G37" s="22" t="n">
        <f>0</f>
        <v>0.0</v>
      </c>
      <c r="H37" s="21" t="n">
        <f>276</f>
        <v>276.0</v>
      </c>
      <c r="I37" s="22" t="n">
        <f>0</f>
        <v>0.0</v>
      </c>
      <c r="J37" s="21" t="n">
        <f>19150000</f>
        <v>1.915E7</v>
      </c>
      <c r="K37" s="22" t="n">
        <f>0</f>
        <v>0.0</v>
      </c>
      <c r="L37" s="21" t="n">
        <f>42030000</f>
        <v>4.203E7</v>
      </c>
      <c r="M37" s="22" t="n">
        <f>0</f>
        <v>0.0</v>
      </c>
      <c r="N37" s="21" t="n">
        <f>61180000</f>
        <v>6.118E7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165</f>
        <v>165.0</v>
      </c>
      <c r="E38" s="36" t="n">
        <f>0</f>
        <v>0.0</v>
      </c>
      <c r="F38" s="21" t="n">
        <f>19</f>
        <v>19.0</v>
      </c>
      <c r="G38" s="36" t="n">
        <f>0</f>
        <v>0.0</v>
      </c>
      <c r="H38" s="21" t="n">
        <f>184</f>
        <v>184.0</v>
      </c>
      <c r="I38" s="36" t="n">
        <f>0</f>
        <v>0.0</v>
      </c>
      <c r="J38" s="21" t="n">
        <f>36390000</f>
        <v>3.639E7</v>
      </c>
      <c r="K38" s="36" t="n">
        <f>0</f>
        <v>0.0</v>
      </c>
      <c r="L38" s="21" t="n">
        <f>4630000</f>
        <v>4630000.0</v>
      </c>
      <c r="M38" s="36" t="n">
        <f>0</f>
        <v>0.0</v>
      </c>
      <c r="N38" s="21" t="n">
        <f>41020000</f>
        <v>4.102E7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299</f>
        <v>299.0</v>
      </c>
      <c r="E39" s="37" t="n">
        <f>0</f>
        <v>0.0</v>
      </c>
      <c r="F39" s="25" t="n">
        <f>167</f>
        <v>167.0</v>
      </c>
      <c r="G39" s="37" t="n">
        <f>0</f>
        <v>0.0</v>
      </c>
      <c r="H39" s="25" t="n">
        <f>466</f>
        <v>466.0</v>
      </c>
      <c r="I39" s="37" t="n">
        <f>0</f>
        <v>0.0</v>
      </c>
      <c r="J39" s="25" t="n">
        <f>55540000</f>
        <v>5.554E7</v>
      </c>
      <c r="K39" s="37" t="n">
        <f>0</f>
        <v>0.0</v>
      </c>
      <c r="L39" s="25" t="n">
        <f>47260000</f>
        <v>4.726E7</v>
      </c>
      <c r="M39" s="37" t="n">
        <f>0</f>
        <v>0.0</v>
      </c>
      <c r="N39" s="25" t="n">
        <f>102800000</f>
        <v>1.028E8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1865</f>
        <v>1865.0</v>
      </c>
      <c r="E41" s="36" t="n">
        <f>715</f>
        <v>715.0</v>
      </c>
      <c r="F41" s="21" t="n">
        <f>790</f>
        <v>790.0</v>
      </c>
      <c r="G41" s="36" t="n">
        <f>0</f>
        <v>0.0</v>
      </c>
      <c r="H41" s="21" t="n">
        <f>2655</f>
        <v>2655.0</v>
      </c>
      <c r="I41" s="36" t="n">
        <f>715</f>
        <v>715.0</v>
      </c>
      <c r="J41" s="21" t="n">
        <f>101032155</f>
        <v>1.01032155E8</v>
      </c>
      <c r="K41" s="36" t="n">
        <f>58987500</f>
        <v>5.89875E7</v>
      </c>
      <c r="L41" s="21" t="n">
        <f>2485745</f>
        <v>2485745.0</v>
      </c>
      <c r="M41" s="36" t="n">
        <f>0</f>
        <v>0.0</v>
      </c>
      <c r="N41" s="21" t="n">
        <f>103517900</f>
        <v>1.035179E8</v>
      </c>
      <c r="O41" s="36" t="n">
        <f>58987500</f>
        <v>5.89875E7</v>
      </c>
    </row>
    <row r="42" spans="1:15" ht="24.9" customHeight="1">
      <c r="A42" s="38"/>
      <c r="B42" s="62"/>
      <c r="C42" s="20" t="s">
        <v>17</v>
      </c>
      <c r="D42" s="21" t="n">
        <f>1987</f>
        <v>1987.0</v>
      </c>
      <c r="E42" s="36" t="n">
        <f>0</f>
        <v>0.0</v>
      </c>
      <c r="F42" s="21" t="n">
        <f>10505</f>
        <v>10505.0</v>
      </c>
      <c r="G42" s="36" t="n">
        <f>2100</f>
        <v>2100.0</v>
      </c>
      <c r="H42" s="21" t="n">
        <f>12492</f>
        <v>12492.0</v>
      </c>
      <c r="I42" s="36" t="n">
        <f>2100</f>
        <v>2100.0</v>
      </c>
      <c r="J42" s="21" t="n">
        <f>20586775</f>
        <v>2.0586775E7</v>
      </c>
      <c r="K42" s="36" t="n">
        <f>0</f>
        <v>0.0</v>
      </c>
      <c r="L42" s="21" t="n">
        <f>45972525</f>
        <v>4.5972525E7</v>
      </c>
      <c r="M42" s="36" t="n">
        <f>14890000</f>
        <v>1.489E7</v>
      </c>
      <c r="N42" s="21" t="n">
        <f>66559300</f>
        <v>6.65593E7</v>
      </c>
      <c r="O42" s="36" t="n">
        <f>14890000</f>
        <v>1.489E7</v>
      </c>
    </row>
    <row r="43" spans="1:15" ht="24.9" customHeight="1">
      <c r="A43" s="38"/>
      <c r="B43" s="62"/>
      <c r="C43" s="24" t="s">
        <v>18</v>
      </c>
      <c r="D43" s="25" t="n">
        <f>3852</f>
        <v>3852.0</v>
      </c>
      <c r="E43" s="37" t="n">
        <f>715</f>
        <v>715.0</v>
      </c>
      <c r="F43" s="25" t="n">
        <f>11295</f>
        <v>11295.0</v>
      </c>
      <c r="G43" s="37" t="n">
        <f>2100</f>
        <v>2100.0</v>
      </c>
      <c r="H43" s="25" t="n">
        <f>15147</f>
        <v>15147.0</v>
      </c>
      <c r="I43" s="37" t="n">
        <f>2815</f>
        <v>2815.0</v>
      </c>
      <c r="J43" s="25" t="n">
        <f>121618930</f>
        <v>1.2161893E8</v>
      </c>
      <c r="K43" s="37" t="n">
        <f>58987500</f>
        <v>5.89875E7</v>
      </c>
      <c r="L43" s="25" t="n">
        <f>48458270</f>
        <v>4.845827E7</v>
      </c>
      <c r="M43" s="37" t="n">
        <f>14890000</f>
        <v>1.489E7</v>
      </c>
      <c r="N43" s="25" t="n">
        <f>170077200</f>
        <v>1.700772E8</v>
      </c>
      <c r="O43" s="37" t="n">
        <f>73877500</f>
        <v>7.38775E7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