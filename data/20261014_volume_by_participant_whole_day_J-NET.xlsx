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<sst xmlns="http://schemas.openxmlformats.org/spreadsheetml/2006/main" count="340" uniqueCount="95">
  <si>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</si>
  <si>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</si>
  <si>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</si>
  <si>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</si>
  <si>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</si>
  <si>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</si>
  <si>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</si>
  <si>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</si>
  <si>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</si>
  <si>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20261014</t>
  </si>
  <si>
    <t>NK225F</t>
  </si>
  <si>
    <t>161120018</t>
  </si>
  <si>
    <t>NIKKEI 225 FUT 2612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</si>
  <si>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</si>
  <si>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</si>
  <si>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</si>
  <si>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</si>
  <si>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</si>
  <si>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</si>
  <si>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</si>
  <si>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</si>
  <si>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</si>
  <si>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</si>
  <si>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</si>
  <si>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</si>
  <si>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</si>
  <si>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</si>
  <si>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</si>
  <si>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</si>
  <si>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</si>
  <si>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</si>
  <si>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</si>
  <si>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</si>
  <si>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</si>
  <si>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</si>
  <si>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</si>
  <si>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</si>
  <si>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</si>
  <si>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</si>
  <si>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</si>
  <si>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</si>
  <si>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</si>
  <si>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</si>
  <si>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</si>
  <si>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</si>
  <si>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</si>
  <si>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</si>
  <si>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</si>
  <si>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</si>
  <si>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</si>
  <si>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</si>
  <si>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</si>
  <si>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</si>
  <si>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</si>
  <si>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</si>
  <si>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</si>
  <si>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</si>
  <si>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</si>
  <si>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</si>
  <si>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</si>
  <si>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</si>
  <si>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</si>
  <si>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</si>
  <si>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</si>
  <si>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</si>
  <si>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</si>
  <si>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</si>
  <si>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</si>
  <si>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</si>
  <si>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</si>
  <si>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12176</t>
  </si>
  <si>
    <t>ドイツ証券</t>
  </si>
  <si>
    <t>Deutsche Securities</t>
  </si>
  <si>
    <t>NK225MF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</si>
  <si>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</si>
  <si>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</si>
  <si>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</si>
  <si>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</si>
  <si>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</si>
  <si>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</si>
  <si>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</si>
  <si>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12072</t>
  </si>
  <si>
    <t>東海東京証券</t>
  </si>
  <si>
    <t>Tokai Tokyo Securities</t>
  </si>
  <si>
    <t>162030005</t>
  </si>
  <si>
    <t>TOPIX FUT 2703</t>
  </si>
  <si>
    <t>NK225E</t>
  </si>
  <si>
    <t>131357018</t>
  </si>
  <si>
    <t>NIKKEI 225 OOP P2611-67000</t>
  </si>
  <si>
    <t>131358018</t>
  </si>
  <si>
    <t>NIKKEI 225 OOP P2611-68000</t>
  </si>
  <si>
    <t>141358018</t>
  </si>
  <si>
    <t>NIKKEI 225 OOP C2611-68000</t>
  </si>
  <si>
    <t>191237518</t>
  </si>
  <si>
    <t>NIKKEI 225 OOP C2611-67500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</si>
</sst>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3307.0</f>
        <v>3307.0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2058.0</f>
        <v>2058.0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1543.0</f>
        <v>1543.0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458.0</f>
        <v>458.0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408.0</f>
        <v>408.0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377.0</f>
        <v>377.0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292.0</f>
        <v>292.0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280.0</f>
        <v>280.0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235.0</f>
        <v>235.0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232.0</f>
        <v>232.0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155.0</f>
        <v>155.0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86.0</f>
        <v>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80.0</f>
        <v>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78.0</f>
        <v>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71.0</f>
        <v>71.0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71.0</f>
        <v>71.0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68.0</f>
        <v>68.0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24.0</f>
        <v>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16.0</f>
        <v>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9.0</f>
        <v>9.0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1518.0</f>
        <v>1518.0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1060.0</f>
        <v>1060.0</v>
      </c>
    </row>
    <row r="31">
      <c r="A31" s="3" t="s">
        <v>73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23950.0</f>
        <v>23950.0</v>
      </c>
    </row>
    <row r="32">
      <c r="A32" s="3" t="s">
        <v>73</v>
      </c>
      <c r="B32" s="4" t="s">
        <v>76</v>
      </c>
      <c r="C32" s="4" t="s">
        <v>77</v>
      </c>
      <c r="D32" s="3" t="n">
        <v>2.0</v>
      </c>
      <c r="E32" s="4" t="s">
        <v>34</v>
      </c>
      <c r="F32" s="4" t="s">
        <v>35</v>
      </c>
      <c r="G32" s="4" t="s">
        <v>36</v>
      </c>
      <c r="H32" s="5" t="n">
        <f>19402.0</f>
        <v>19402.0</v>
      </c>
    </row>
    <row r="33">
      <c r="A33" s="3" t="s">
        <v>73</v>
      </c>
      <c r="B33" s="4" t="s">
        <v>76</v>
      </c>
      <c r="C33" s="4" t="s">
        <v>77</v>
      </c>
      <c r="D33" s="3" t="n">
        <v>3.0</v>
      </c>
      <c r="E33" s="4" t="s">
        <v>40</v>
      </c>
      <c r="F33" s="4" t="s">
        <v>41</v>
      </c>
      <c r="G33" s="4" t="s">
        <v>42</v>
      </c>
      <c r="H33" s="5" t="n">
        <f>52.0</f>
        <v>52.0</v>
      </c>
    </row>
    <row r="34">
      <c r="A34" s="3" t="s">
        <v>73</v>
      </c>
      <c r="B34" s="4" t="s">
        <v>76</v>
      </c>
      <c r="C34" s="4" t="s">
        <v>77</v>
      </c>
      <c r="D34" s="3" t="n">
        <v>4.0</v>
      </c>
      <c r="E34" s="4" t="s">
        <v>55</v>
      </c>
      <c r="F34" s="4" t="s">
        <v>56</v>
      </c>
      <c r="G34" s="4" t="s">
        <v>57</v>
      </c>
      <c r="H34" s="5" t="n">
        <f>22.0</f>
        <v>22.0</v>
      </c>
    </row>
    <row r="35">
      <c r="A35" s="3" t="s">
        <v>73</v>
      </c>
      <c r="B35" s="4" t="s">
        <v>76</v>
      </c>
      <c r="C35" s="4" t="s">
        <v>77</v>
      </c>
      <c r="D35" s="3" t="n">
        <v>5.0</v>
      </c>
      <c r="E35" s="4" t="s">
        <v>16</v>
      </c>
      <c r="F35" s="4" t="s">
        <v>17</v>
      </c>
      <c r="G35" s="4" t="s">
        <v>18</v>
      </c>
      <c r="H35" s="5" t="n">
        <f>18.0</f>
        <v>18.0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55</v>
      </c>
      <c r="F36" s="4" t="s">
        <v>56</v>
      </c>
      <c r="G36" s="4" t="s">
        <v>57</v>
      </c>
      <c r="H36" s="5" t="n">
        <f>4965.0</f>
        <v>4965.0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2658.0</f>
        <v>2658.0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49</v>
      </c>
      <c r="F38" s="4" t="s">
        <v>50</v>
      </c>
      <c r="G38" s="4" t="s">
        <v>51</v>
      </c>
      <c r="H38" s="5" t="n">
        <f>1416.0</f>
        <v>1416.0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651.0</f>
        <v>651.0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58</v>
      </c>
      <c r="F40" s="4" t="s">
        <v>59</v>
      </c>
      <c r="G40" s="4" t="s">
        <v>60</v>
      </c>
      <c r="H40" s="5" t="n">
        <f>410.0</f>
        <v>410.0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25</v>
      </c>
      <c r="F41" s="4" t="s">
        <v>26</v>
      </c>
      <c r="G41" s="4" t="s">
        <v>27</v>
      </c>
      <c r="H41" s="5" t="n">
        <f>396.0</f>
        <v>396.0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64</v>
      </c>
      <c r="F42" s="4" t="s">
        <v>65</v>
      </c>
      <c r="G42" s="4" t="s">
        <v>66</v>
      </c>
      <c r="H42" s="5" t="n">
        <f>300.0</f>
        <v>300.0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19</v>
      </c>
      <c r="F43" s="4" t="s">
        <v>20</v>
      </c>
      <c r="G43" s="4" t="s">
        <v>21</v>
      </c>
      <c r="H43" s="5" t="n">
        <f>298.0</f>
        <v>298.0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16</v>
      </c>
      <c r="F44" s="4" t="s">
        <v>17</v>
      </c>
      <c r="G44" s="4" t="s">
        <v>18</v>
      </c>
      <c r="H44" s="5" t="n">
        <f>210.0</f>
        <v>210.0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31</v>
      </c>
      <c r="F45" s="4" t="s">
        <v>32</v>
      </c>
      <c r="G45" s="4" t="s">
        <v>33</v>
      </c>
      <c r="H45" s="5" t="n">
        <f>200.0</f>
        <v>200.0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81</v>
      </c>
      <c r="F46" s="4" t="s">
        <v>82</v>
      </c>
      <c r="G46" s="4" t="s">
        <v>83</v>
      </c>
      <c r="H46" s="5" t="n">
        <f>75.0</f>
        <v>75.0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46</v>
      </c>
      <c r="F47" s="4" t="s">
        <v>47</v>
      </c>
      <c r="G47" s="4" t="s">
        <v>48</v>
      </c>
      <c r="H47" s="5" t="n">
        <f>33.0</f>
        <v>33.0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13</v>
      </c>
      <c r="F48" s="4" t="s">
        <v>14</v>
      </c>
      <c r="G48" s="4" t="s">
        <v>15</v>
      </c>
      <c r="H48" s="5" t="n">
        <f>32.0</f>
        <v>32.0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40</v>
      </c>
      <c r="F49" s="4" t="s">
        <v>41</v>
      </c>
      <c r="G49" s="4" t="s">
        <v>42</v>
      </c>
      <c r="H49" s="5" t="n">
        <f>8.0</f>
        <v>8.0</v>
      </c>
    </row>
    <row r="50">
      <c r="A50" s="3" t="s">
        <v>78</v>
      </c>
      <c r="B50" s="4" t="s">
        <v>84</v>
      </c>
      <c r="C50" s="4" t="s">
        <v>85</v>
      </c>
      <c r="D50" s="3" t="n">
        <v>1.0</v>
      </c>
      <c r="E50" s="4" t="s">
        <v>37</v>
      </c>
      <c r="F50" s="4" t="s">
        <v>38</v>
      </c>
      <c r="G50" s="4" t="s">
        <v>39</v>
      </c>
      <c r="H50" s="5" t="n">
        <f>400.0</f>
        <v>400.0</v>
      </c>
    </row>
    <row r="51">
      <c r="A51" s="3" t="s">
        <v>78</v>
      </c>
      <c r="B51" s="4" t="s">
        <v>84</v>
      </c>
      <c r="C51" s="4" t="s">
        <v>85</v>
      </c>
      <c r="D51" s="3" t="n">
        <v>2.0</v>
      </c>
      <c r="E51" s="4" t="s">
        <v>64</v>
      </c>
      <c r="F51" s="4" t="s">
        <v>65</v>
      </c>
      <c r="G51" s="4" t="s">
        <v>66</v>
      </c>
      <c r="H51" s="5" t="n">
        <f>300.0</f>
        <v>300.0</v>
      </c>
    </row>
    <row r="52">
      <c r="A52" s="3" t="s">
        <v>78</v>
      </c>
      <c r="B52" s="4" t="s">
        <v>84</v>
      </c>
      <c r="C52" s="4" t="s">
        <v>85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100.0</f>
        <v>100.0</v>
      </c>
    </row>
    <row r="53">
      <c r="A53" s="3" t="s">
        <v>86</v>
      </c>
      <c r="B53" s="4" t="s">
        <v>87</v>
      </c>
      <c r="C53" s="4" t="s">
        <v>88</v>
      </c>
      <c r="D53" s="3" t="n">
        <v>1.0</v>
      </c>
      <c r="E53" s="4" t="s">
        <v>37</v>
      </c>
      <c r="F53" s="4" t="s">
        <v>38</v>
      </c>
      <c r="G53" s="4" t="s">
        <v>39</v>
      </c>
      <c r="H53" s="5" t="n">
        <f>100.0</f>
        <v>100.0</v>
      </c>
    </row>
    <row r="54">
      <c r="A54" s="3" t="s">
        <v>86</v>
      </c>
      <c r="B54" s="4" t="s">
        <v>87</v>
      </c>
      <c r="C54" s="4" t="s">
        <v>88</v>
      </c>
      <c r="D54" s="3" t="n">
        <v>1.0</v>
      </c>
      <c r="E54" s="4" t="s">
        <v>46</v>
      </c>
      <c r="F54" s="4" t="s">
        <v>47</v>
      </c>
      <c r="G54" s="4" t="s">
        <v>48</v>
      </c>
      <c r="H54" s="5" t="n">
        <f>100.0</f>
        <v>100.0</v>
      </c>
    </row>
    <row r="55">
      <c r="A55" s="3" t="s">
        <v>86</v>
      </c>
      <c r="B55" s="4" t="s">
        <v>87</v>
      </c>
      <c r="C55" s="4" t="s">
        <v>88</v>
      </c>
      <c r="D55" s="3" t="n">
        <v>3.0</v>
      </c>
      <c r="E55" s="4" t="s">
        <v>13</v>
      </c>
      <c r="F55" s="4" t="s">
        <v>14</v>
      </c>
      <c r="G55" s="4" t="s">
        <v>15</v>
      </c>
      <c r="H55" s="5" t="n">
        <f>2.0</f>
        <v>2.0</v>
      </c>
    </row>
    <row r="56">
      <c r="A56" s="3" t="s">
        <v>86</v>
      </c>
      <c r="B56" s="4" t="s">
        <v>89</v>
      </c>
      <c r="C56" s="4" t="s">
        <v>90</v>
      </c>
      <c r="D56" s="3" t="n">
        <v>1.0</v>
      </c>
      <c r="E56" s="4" t="s">
        <v>22</v>
      </c>
      <c r="F56" s="4" t="s">
        <v>23</v>
      </c>
      <c r="G56" s="4" t="s">
        <v>24</v>
      </c>
      <c r="H56" s="5" t="n">
        <f>100.0</f>
        <v>100.0</v>
      </c>
    </row>
    <row r="57">
      <c r="A57" s="3" t="s">
        <v>86</v>
      </c>
      <c r="B57" s="4" t="s">
        <v>89</v>
      </c>
      <c r="C57" s="4" t="s">
        <v>90</v>
      </c>
      <c r="D57" s="3" t="n">
        <v>1.0</v>
      </c>
      <c r="E57" s="4" t="s">
        <v>61</v>
      </c>
      <c r="F57" s="4" t="s">
        <v>62</v>
      </c>
      <c r="G57" s="4" t="s">
        <v>63</v>
      </c>
      <c r="H57" s="5" t="n">
        <f>100.0</f>
        <v>100.0</v>
      </c>
    </row>
    <row r="58">
      <c r="A58" s="3" t="s">
        <v>86</v>
      </c>
      <c r="B58" s="4" t="s">
        <v>89</v>
      </c>
      <c r="C58" s="4" t="s">
        <v>90</v>
      </c>
      <c r="D58" s="3" t="n">
        <v>3.0</v>
      </c>
      <c r="E58" s="4" t="s">
        <v>40</v>
      </c>
      <c r="F58" s="4" t="s">
        <v>41</v>
      </c>
      <c r="G58" s="4" t="s">
        <v>42</v>
      </c>
      <c r="H58" s="5" t="n">
        <f>80.0</f>
        <v>80.0</v>
      </c>
    </row>
    <row r="59">
      <c r="A59" s="3" t="s">
        <v>86</v>
      </c>
      <c r="B59" s="4" t="s">
        <v>89</v>
      </c>
      <c r="C59" s="4" t="s">
        <v>90</v>
      </c>
      <c r="D59" s="3" t="n">
        <v>4.0</v>
      </c>
      <c r="E59" s="4" t="s">
        <v>43</v>
      </c>
      <c r="F59" s="4" t="s">
        <v>44</v>
      </c>
      <c r="G59" s="4" t="s">
        <v>45</v>
      </c>
      <c r="H59" s="5" t="n">
        <f>50.0</f>
        <v>50.0</v>
      </c>
    </row>
    <row r="60">
      <c r="A60" s="3" t="s">
        <v>86</v>
      </c>
      <c r="B60" s="4" t="s">
        <v>89</v>
      </c>
      <c r="C60" s="4" t="s">
        <v>90</v>
      </c>
      <c r="D60" s="3" t="n">
        <v>4.0</v>
      </c>
      <c r="E60" s="4" t="s">
        <v>19</v>
      </c>
      <c r="F60" s="4" t="s">
        <v>20</v>
      </c>
      <c r="G60" s="4" t="s">
        <v>21</v>
      </c>
      <c r="H60" s="5" t="n">
        <f>50.0</f>
        <v>50.0</v>
      </c>
    </row>
    <row r="61">
      <c r="A61" s="3" t="s">
        <v>86</v>
      </c>
      <c r="B61" s="4" t="s">
        <v>89</v>
      </c>
      <c r="C61" s="4" t="s">
        <v>90</v>
      </c>
      <c r="D61" s="3" t="n">
        <v>6.0</v>
      </c>
      <c r="E61" s="4" t="s">
        <v>13</v>
      </c>
      <c r="F61" s="4" t="s">
        <v>14</v>
      </c>
      <c r="G61" s="4" t="s">
        <v>15</v>
      </c>
      <c r="H61" s="5" t="n">
        <f>6.0</f>
        <v>6.0</v>
      </c>
    </row>
    <row r="62">
      <c r="A62" s="3" t="s">
        <v>86</v>
      </c>
      <c r="B62" s="4" t="s">
        <v>91</v>
      </c>
      <c r="C62" s="4" t="s">
        <v>92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6.0</f>
        <v>6.0</v>
      </c>
    </row>
    <row r="63">
      <c r="A63" s="3" t="s">
        <v>86</v>
      </c>
      <c r="B63" s="4" t="s">
        <v>93</v>
      </c>
      <c r="C63" s="4" t="s">
        <v>94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