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<sst xmlns="http://schemas.openxmlformats.org/spreadsheetml/2006/main" count="208" uniqueCount="76">
  <si>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</si>
  <si>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</si>
  <si>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</si>
  <si>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</si>
  <si>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</si>
  <si>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</si>
  <si>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</si>
  <si>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</si>
  <si>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</si>
  <si>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20261026</t>
  </si>
  <si>
    <t>NK225F</t>
  </si>
  <si>
    <t>161120018</t>
  </si>
  <si>
    <t>NIKKEI 225 FUT 2612</t>
  </si>
  <si>
    <t>11256</t>
  </si>
  <si>
    <t>ＳＢＩ証券</t>
  </si>
  <si>
    <t>SBI SECURITIES</t>
  </si>
  <si>
    <t>12057</t>
  </si>
  <si>
    <t>楽天証券</t>
  </si>
  <si>
    <t>Rakuten Securities</t>
  </si>
  <si>
    <t>11696</t>
  </si>
  <si>
    <t>みずほ証券</t>
  </si>
  <si>
    <t>Mizuho Securities</t>
  </si>
  <si>
    <t>11560</t>
  </si>
  <si>
    <t>ゴールドマン証券</t>
  </si>
  <si>
    <t>Goldman Sachs Japan</t>
  </si>
  <si>
    <t>12400</t>
  </si>
  <si>
    <t>野村証券</t>
  </si>
  <si>
    <t>The Nomura Securities</t>
  </si>
  <si>
    <t>12724</t>
  </si>
  <si>
    <t>ＨＳＢＣ証券</t>
  </si>
  <si>
    <t>HSBC Securities (Japan)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</si>
  <si>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</si>
  <si>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</si>
  <si>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</si>
  <si>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</si>
  <si>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</si>
  <si>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</si>
  <si>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</si>
  <si>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</si>
  <si>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</si>
  <si>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</si>
  <si>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</si>
  <si>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</si>
  <si>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</si>
  <si>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</si>
  <si>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</si>
  <si>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</si>
  <si>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</si>
  <si>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</si>
  <si>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11714</t>
  </si>
  <si>
    <t>ＪＰモルガン証券</t>
  </si>
  <si>
    <t>JPMorgan Securities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</si>
  <si>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</si>
  <si>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</si>
  <si>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</si>
  <si>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</si>
  <si>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</si>
  <si>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</si>
  <si>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</si>
  <si>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</si>
  <si>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</si>
  <si>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NK225MF</t>
  </si>
  <si>
    <t>161110019</t>
  </si>
  <si>
    <t>MINI NK225 FUT 2611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</si>
  <si>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</si>
  <si>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</si>
  <si>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</si>
  <si>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</si>
  <si>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</si>
  <si>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</si>
  <si>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</si>
  <si>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NK225E</t>
  </si>
  <si>
    <t>131232018</t>
  </si>
  <si>
    <t>NIKKEI 225 OOP P2611-62000</t>
  </si>
  <si>
    <t>141233018</t>
  </si>
  <si>
    <t>NIKKEI 225 OOP C2611-63000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</si>
</sst>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586.0</f>
        <v>586.0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240.0</f>
        <v>240.0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76.0</f>
        <v>76.0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73.0</f>
        <v>73.0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72.0</f>
        <v>72.0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61.0</f>
        <v>61.0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56.0</f>
        <v>56.0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55.0</f>
        <v>55.0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55.0</f>
        <v>55.0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54.0</f>
        <v>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40.0</f>
        <v>40.0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33.0</f>
        <v>33.0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28.0</f>
        <v>28.0</v>
      </c>
    </row>
    <row r="22">
      <c r="A22" s="3" t="s">
        <v>10</v>
      </c>
      <c r="B22" s="4" t="s">
        <v>11</v>
      </c>
      <c r="C22" s="4" t="s">
        <v>12</v>
      </c>
      <c r="D22" s="3" t="n">
        <v>13.0</v>
      </c>
      <c r="E22" s="4" t="s">
        <v>52</v>
      </c>
      <c r="F22" s="4" t="s">
        <v>53</v>
      </c>
      <c r="G22" s="4" t="s">
        <v>54</v>
      </c>
      <c r="H22" s="5" t="n">
        <f>28.0</f>
        <v>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16.0</f>
        <v>16.0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9.0</f>
        <v>9.0</v>
      </c>
    </row>
    <row r="25">
      <c r="A25" s="3" t="s">
        <v>61</v>
      </c>
      <c r="B25" s="4" t="s">
        <v>62</v>
      </c>
      <c r="C25" s="4" t="s">
        <v>63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2300.0</f>
        <v>2300.0</v>
      </c>
    </row>
    <row r="26">
      <c r="A26" s="3" t="s">
        <v>61</v>
      </c>
      <c r="B26" s="4" t="s">
        <v>62</v>
      </c>
      <c r="C26" s="4" t="s">
        <v>63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916.0</f>
        <v>916.0</v>
      </c>
    </row>
    <row r="27">
      <c r="A27" s="3" t="s">
        <v>61</v>
      </c>
      <c r="B27" s="4" t="s">
        <v>62</v>
      </c>
      <c r="C27" s="4" t="s">
        <v>63</v>
      </c>
      <c r="D27" s="3" t="n">
        <v>3.0</v>
      </c>
      <c r="E27" s="4" t="s">
        <v>40</v>
      </c>
      <c r="F27" s="4" t="s">
        <v>41</v>
      </c>
      <c r="G27" s="4" t="s">
        <v>42</v>
      </c>
      <c r="H27" s="5" t="n">
        <f>202.0</f>
        <v>202.0</v>
      </c>
    </row>
    <row r="28">
      <c r="A28" s="3" t="s">
        <v>61</v>
      </c>
      <c r="B28" s="4" t="s">
        <v>64</v>
      </c>
      <c r="C28" s="4" t="s">
        <v>65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40688.0</f>
        <v>40688.0</v>
      </c>
    </row>
    <row r="29">
      <c r="A29" s="3" t="s">
        <v>61</v>
      </c>
      <c r="B29" s="4" t="s">
        <v>64</v>
      </c>
      <c r="C29" s="4" t="s">
        <v>65</v>
      </c>
      <c r="D29" s="3" t="n">
        <v>2.0</v>
      </c>
      <c r="E29" s="4" t="s">
        <v>16</v>
      </c>
      <c r="F29" s="4" t="s">
        <v>17</v>
      </c>
      <c r="G29" s="4" t="s">
        <v>18</v>
      </c>
      <c r="H29" s="5" t="n">
        <f>21030.0</f>
        <v>21030.0</v>
      </c>
    </row>
    <row r="30">
      <c r="A30" s="3" t="s">
        <v>61</v>
      </c>
      <c r="B30" s="4" t="s">
        <v>64</v>
      </c>
      <c r="C30" s="4" t="s">
        <v>65</v>
      </c>
      <c r="D30" s="3" t="n">
        <v>3.0</v>
      </c>
      <c r="E30" s="4" t="s">
        <v>40</v>
      </c>
      <c r="F30" s="4" t="s">
        <v>41</v>
      </c>
      <c r="G30" s="4" t="s">
        <v>42</v>
      </c>
      <c r="H30" s="5" t="n">
        <f>4542.0</f>
        <v>4542.0</v>
      </c>
    </row>
    <row r="31">
      <c r="A31" s="3" t="s">
        <v>61</v>
      </c>
      <c r="B31" s="4" t="s">
        <v>64</v>
      </c>
      <c r="C31" s="4" t="s">
        <v>65</v>
      </c>
      <c r="D31" s="3" t="n">
        <v>4.0</v>
      </c>
      <c r="E31" s="4" t="s">
        <v>22</v>
      </c>
      <c r="F31" s="4" t="s">
        <v>23</v>
      </c>
      <c r="G31" s="4" t="s">
        <v>24</v>
      </c>
      <c r="H31" s="5" t="n">
        <f>16.0</f>
        <v>16.0</v>
      </c>
    </row>
    <row r="32">
      <c r="A32" s="3" t="s">
        <v>61</v>
      </c>
      <c r="B32" s="4" t="s">
        <v>66</v>
      </c>
      <c r="C32" s="4" t="s">
        <v>67</v>
      </c>
      <c r="D32" s="3" t="n">
        <v>1.0</v>
      </c>
      <c r="E32" s="4" t="s">
        <v>16</v>
      </c>
      <c r="F32" s="4" t="s">
        <v>17</v>
      </c>
      <c r="G32" s="4" t="s">
        <v>18</v>
      </c>
      <c r="H32" s="5" t="n">
        <f>22.0</f>
        <v>22.0</v>
      </c>
    </row>
    <row r="33">
      <c r="A33" s="3" t="s">
        <v>61</v>
      </c>
      <c r="B33" s="4" t="s">
        <v>66</v>
      </c>
      <c r="C33" s="4" t="s">
        <v>67</v>
      </c>
      <c r="D33" s="3" t="n">
        <v>2.0</v>
      </c>
      <c r="E33" s="4" t="s">
        <v>13</v>
      </c>
      <c r="F33" s="4" t="s">
        <v>14</v>
      </c>
      <c r="G33" s="4" t="s">
        <v>15</v>
      </c>
      <c r="H33" s="5" t="n">
        <f>4.0</f>
        <v>4.0</v>
      </c>
    </row>
    <row r="34">
      <c r="A34" s="3" t="s">
        <v>68</v>
      </c>
      <c r="B34" s="4" t="s">
        <v>69</v>
      </c>
      <c r="C34" s="4" t="s">
        <v>70</v>
      </c>
      <c r="D34" s="3" t="n">
        <v>1.0</v>
      </c>
      <c r="E34" s="4" t="s">
        <v>22</v>
      </c>
      <c r="F34" s="4" t="s">
        <v>23</v>
      </c>
      <c r="G34" s="4" t="s">
        <v>24</v>
      </c>
      <c r="H34" s="5" t="n">
        <f>2472.0</f>
        <v>2472.0</v>
      </c>
    </row>
    <row r="35">
      <c r="A35" s="3" t="s">
        <v>68</v>
      </c>
      <c r="B35" s="4" t="s">
        <v>69</v>
      </c>
      <c r="C35" s="4" t="s">
        <v>70</v>
      </c>
      <c r="D35" s="3" t="n">
        <v>2.0</v>
      </c>
      <c r="E35" s="4" t="s">
        <v>13</v>
      </c>
      <c r="F35" s="4" t="s">
        <v>14</v>
      </c>
      <c r="G35" s="4" t="s">
        <v>15</v>
      </c>
      <c r="H35" s="5" t="n">
        <f>24.0</f>
        <v>24.0</v>
      </c>
    </row>
    <row r="36">
      <c r="A36" s="3" t="s">
        <v>68</v>
      </c>
      <c r="B36" s="4" t="s">
        <v>69</v>
      </c>
      <c r="C36" s="4" t="s">
        <v>70</v>
      </c>
      <c r="D36" s="3" t="n">
        <v>3.0</v>
      </c>
      <c r="E36" s="4" t="s">
        <v>49</v>
      </c>
      <c r="F36" s="4" t="s">
        <v>50</v>
      </c>
      <c r="G36" s="4" t="s">
        <v>51</v>
      </c>
      <c r="H36" s="5" t="n">
        <f>11.0</f>
        <v>11.0</v>
      </c>
    </row>
    <row r="37">
      <c r="A37" s="3" t="s">
        <v>68</v>
      </c>
      <c r="B37" s="4" t="s">
        <v>69</v>
      </c>
      <c r="C37" s="4" t="s">
        <v>70</v>
      </c>
      <c r="D37" s="3" t="n">
        <v>3.0</v>
      </c>
      <c r="E37" s="4" t="s">
        <v>43</v>
      </c>
      <c r="F37" s="4" t="s">
        <v>44</v>
      </c>
      <c r="G37" s="4" t="s">
        <v>45</v>
      </c>
      <c r="H37" s="5" t="n">
        <f>11.0</f>
        <v>11.0</v>
      </c>
    </row>
    <row r="38">
      <c r="A38" s="3" t="s">
        <v>68</v>
      </c>
      <c r="B38" s="4" t="s">
        <v>69</v>
      </c>
      <c r="C38" s="4" t="s">
        <v>70</v>
      </c>
      <c r="D38" s="3" t="n">
        <v>5.0</v>
      </c>
      <c r="E38" s="4" t="s">
        <v>40</v>
      </c>
      <c r="F38" s="4" t="s">
        <v>41</v>
      </c>
      <c r="G38" s="4" t="s">
        <v>42</v>
      </c>
      <c r="H38" s="5" t="n">
        <f>2.0</f>
        <v>2.0</v>
      </c>
    </row>
    <row r="39">
      <c r="A39" s="3" t="s">
        <v>71</v>
      </c>
      <c r="B39" s="4" t="s">
        <v>72</v>
      </c>
      <c r="C39" s="4" t="s">
        <v>73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4.0</f>
        <v>4.0</v>
      </c>
    </row>
    <row r="40">
      <c r="A40" s="3" t="s">
        <v>71</v>
      </c>
      <c r="B40" s="4" t="s">
        <v>72</v>
      </c>
      <c r="C40" s="4" t="s">
        <v>73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4.0</f>
        <v>4.0</v>
      </c>
    </row>
    <row r="41">
      <c r="A41" s="3" t="s">
        <v>71</v>
      </c>
      <c r="B41" s="4" t="s">
        <v>74</v>
      </c>
      <c r="C41" s="4" t="s">
        <v>75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