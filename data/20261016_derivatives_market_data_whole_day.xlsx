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<sst xmlns="http://schemas.openxmlformats.org/spreadsheetml/2006/main" count="528" uniqueCount="129">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</sst>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DATE(2026,10,16)</f>
        <v>46311.0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DATE(2026,10,16)</f>
        <v>46311.0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1157919.0</f>
        <v>1157919.0</v>
      </c>
      <c r="E12" s="18" t="n">
        <f>40818.0</f>
        <v>40818.0</v>
      </c>
      <c r="F12" s="19" t="n">
        <f>1.0</f>
        <v>1.0</v>
      </c>
      <c r="G12" s="17" t="n">
        <f>8476564615115.0</f>
        <v>8.476564615115E12</v>
      </c>
      <c r="H12" s="18" t="n">
        <f>397990586540.0</f>
        <v>3.9799058654E11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504752.0</f>
        <v>504752.0</v>
      </c>
      <c r="E13" s="22" t="n">
        <f>18352.0</f>
        <v>18352.0</v>
      </c>
      <c r="F13" s="23" t="n">
        <f>1.0</f>
        <v>1.0</v>
      </c>
      <c r="G13" s="21" t="n">
        <f>6124638411205.0</f>
        <v>6.124638411205E12</v>
      </c>
      <c r="H13" s="22" t="n">
        <f>286214165680.0</f>
        <v>2.8621416568E11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509178.0</f>
        <v>509178.0</v>
      </c>
      <c r="E14" s="22" t="n">
        <f>33225.0</f>
        <v>33225.0</v>
      </c>
      <c r="F14" s="23" t="n">
        <f>1.0</f>
        <v>1.0</v>
      </c>
      <c r="G14" s="21" t="n">
        <f>7276334260608.0</f>
        <v>7.276334260608E12</v>
      </c>
      <c r="H14" s="22" t="n">
        <f>1315947239808.0</f>
        <v>1.315947239808E12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2171849.0</f>
        <v>2171849.0</v>
      </c>
      <c r="E15" s="26" t="n">
        <f>92395.0</f>
        <v>92395.0</v>
      </c>
      <c r="F15" s="27" t="n">
        <f>1.0</f>
        <v>1.0</v>
      </c>
      <c r="G15" s="25" t="n">
        <f>21877537286928.0</f>
        <v>2.1877537286928E13</v>
      </c>
      <c r="H15" s="26" t="n">
        <f>2000151992028.0</f>
        <v>2.000151992028E12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31668.0</f>
        <v>31668.0</v>
      </c>
      <c r="E16" s="18" t="n">
        <f>375.0</f>
        <v>375.0</v>
      </c>
      <c r="F16" s="19" t="n">
        <f>0.027</f>
        <v>0.027</v>
      </c>
      <c r="G16" s="17" t="n">
        <f>3446652480625.0</f>
        <v>3.446652480625E12</v>
      </c>
      <c r="H16" s="18" t="n">
        <f>47157430000.0</f>
        <v>4.715743E10</v>
      </c>
      <c r="I16" s="19" t="n">
        <f>0.407</f>
        <v>0.407</v>
      </c>
    </row>
    <row r="17" spans="1:9" ht="24.9" customHeight="1">
      <c r="A17" s="41"/>
      <c r="B17" s="39"/>
      <c r="C17" s="20" t="s">
        <v>16</v>
      </c>
      <c r="D17" s="21" t="n">
        <f>27753.0</f>
        <v>27753.0</v>
      </c>
      <c r="E17" s="22" t="n">
        <f>591.0</f>
        <v>591.0</v>
      </c>
      <c r="F17" s="23" t="n">
        <f>0.055</f>
        <v>0.055</v>
      </c>
      <c r="G17" s="21" t="n">
        <f>3022602404875.0</f>
        <v>3.022602404875E12</v>
      </c>
      <c r="H17" s="22" t="n">
        <f>74352330000.0</f>
        <v>7.435233E10</v>
      </c>
      <c r="I17" s="23" t="n">
        <f>0.494</f>
        <v>0.494</v>
      </c>
    </row>
    <row r="18" spans="1:9" ht="24.9" customHeight="1">
      <c r="A18" s="41"/>
      <c r="B18" s="39"/>
      <c r="C18" s="20" t="s">
        <v>17</v>
      </c>
      <c r="D18" s="21" t="n">
        <f>23310.0</f>
        <v>23310.0</v>
      </c>
      <c r="E18" s="22" t="n">
        <f>2802.0</f>
        <v>2802.0</v>
      </c>
      <c r="F18" s="23" t="n">
        <f>0.046</f>
        <v>0.046</v>
      </c>
      <c r="G18" s="21" t="n">
        <f>2623268148000.0</f>
        <v>2.623268148E12</v>
      </c>
      <c r="H18" s="22" t="n">
        <f>351687200000.0</f>
        <v>3.516872E11</v>
      </c>
      <c r="I18" s="23" t="n">
        <f>0.361</f>
        <v>0.361</v>
      </c>
    </row>
    <row r="19" spans="1:9" ht="24.9" customHeight="1">
      <c r="A19" s="41"/>
      <c r="B19" s="39"/>
      <c r="C19" s="24" t="s">
        <v>18</v>
      </c>
      <c r="D19" s="25" t="n">
        <f>82731.0</f>
        <v>82731.0</v>
      </c>
      <c r="E19" s="26" t="n">
        <f>3768.0</f>
        <v>3768.0</v>
      </c>
      <c r="F19" s="27" t="n">
        <f>0.038</f>
        <v>0.038</v>
      </c>
      <c r="G19" s="25" t="n">
        <f>9092523033500.0</f>
        <v>9.0925230335E12</v>
      </c>
      <c r="H19" s="26" t="n">
        <f>473196960000.0</f>
        <v>4.7319696E11</v>
      </c>
      <c r="I19" s="27" t="n">
        <f>0.416</f>
        <v>0.416</v>
      </c>
    </row>
    <row r="20" spans="1:9" ht="24.9" customHeight="1">
      <c r="A20" s="41"/>
      <c r="B20" s="39" t="s">
        <v>21</v>
      </c>
      <c r="C20" s="16" t="s">
        <v>15</v>
      </c>
      <c r="D20" s="17" t="n">
        <f>1102842.0</f>
        <v>1102842.0</v>
      </c>
      <c r="E20" s="18" t="n">
        <f>39243.0</f>
        <v>39243.0</v>
      </c>
      <c r="F20" s="19" t="n">
        <f>0.952</f>
        <v>0.952</v>
      </c>
      <c r="G20" s="17" t="n">
        <f>4916496556990.0</f>
        <v>4.91649655699E12</v>
      </c>
      <c r="H20" s="18" t="n">
        <f>349028044540.0</f>
        <v>3.4902804454E11</v>
      </c>
      <c r="I20" s="19" t="n">
        <f>0.58</f>
        <v>0.58</v>
      </c>
    </row>
    <row r="21" spans="1:9" ht="24.9" customHeight="1">
      <c r="A21" s="41"/>
      <c r="B21" s="39"/>
      <c r="C21" s="20" t="s">
        <v>16</v>
      </c>
      <c r="D21" s="21" t="n">
        <f>471446.0</f>
        <v>471446.0</v>
      </c>
      <c r="E21" s="22" t="n">
        <f>17761.0</f>
        <v>17761.0</v>
      </c>
      <c r="F21" s="23" t="n">
        <f>0.934</f>
        <v>0.934</v>
      </c>
      <c r="G21" s="21" t="n">
        <f>3058756228780.0</f>
        <v>3.05875622878E12</v>
      </c>
      <c r="H21" s="22" t="n">
        <f>211861835680.0</f>
        <v>2.1186183568E11</v>
      </c>
      <c r="I21" s="23" t="n">
        <f>0.499</f>
        <v>0.499</v>
      </c>
    </row>
    <row r="22" spans="1:9" ht="24.9" customHeight="1">
      <c r="A22" s="41"/>
      <c r="B22" s="39"/>
      <c r="C22" s="20" t="s">
        <v>17</v>
      </c>
      <c r="D22" s="21" t="n">
        <f>475849.0</f>
        <v>475849.0</v>
      </c>
      <c r="E22" s="22" t="n">
        <f>30387.0</f>
        <v>30387.0</v>
      </c>
      <c r="F22" s="23" t="n">
        <f>0.935</f>
        <v>0.935</v>
      </c>
      <c r="G22" s="21" t="n">
        <f>4586736714888.0</f>
        <v>4.586736714888E12</v>
      </c>
      <c r="H22" s="22" t="n">
        <f>964239133888.0</f>
        <v>9.64239133888E11</v>
      </c>
      <c r="I22" s="23" t="n">
        <f>0.63</f>
        <v>0.63</v>
      </c>
    </row>
    <row r="23" spans="1:9" ht="24.9" customHeight="1">
      <c r="A23" s="41"/>
      <c r="B23" s="39"/>
      <c r="C23" s="24" t="s">
        <v>18</v>
      </c>
      <c r="D23" s="25" t="n">
        <f>2050137.0</f>
        <v>2050137.0</v>
      </c>
      <c r="E23" s="26" t="n">
        <f>87391.0</f>
        <v>87391.0</v>
      </c>
      <c r="F23" s="27" t="n">
        <f>0.944</f>
        <v>0.944</v>
      </c>
      <c r="G23" s="25" t="n">
        <f>12561989500658.0</f>
        <v>1.2561989500658E13</v>
      </c>
      <c r="H23" s="26" t="n">
        <f>1525129014108.0</f>
        <v>1.525129014108E12</v>
      </c>
      <c r="I23" s="27" t="n">
        <f>0.574</f>
        <v>0.574</v>
      </c>
    </row>
    <row r="24" spans="1:9" ht="24.9" customHeight="1">
      <c r="A24" s="41"/>
      <c r="B24" s="39" t="s">
        <v>22</v>
      </c>
      <c r="C24" s="16" t="s">
        <v>15</v>
      </c>
      <c r="D24" s="17" t="n">
        <f>22027.0</f>
        <v>22027.0</v>
      </c>
      <c r="E24" s="18" t="n">
        <f>0.0</f>
        <v>0.0</v>
      </c>
      <c r="F24" s="19" t="n">
        <f>0.019</f>
        <v>0.019</v>
      </c>
      <c r="G24" s="17" t="n">
        <f>110740274000.0</f>
        <v>1.10740274E11</v>
      </c>
      <c r="H24" s="18" t="n">
        <f>0.0</f>
        <v>0.0</v>
      </c>
      <c r="I24" s="19" t="n">
        <f>0.013</f>
        <v>0.013</v>
      </c>
    </row>
    <row r="25" spans="1:9" ht="24.9" customHeight="1">
      <c r="A25" s="41"/>
      <c r="B25" s="39"/>
      <c r="C25" s="20" t="s">
        <v>16</v>
      </c>
      <c r="D25" s="21" t="n">
        <f>5471.0</f>
        <v>5471.0</v>
      </c>
      <c r="E25" s="22" t="n">
        <f>0.0</f>
        <v>0.0</v>
      </c>
      <c r="F25" s="23" t="n">
        <f>0.011</f>
        <v>0.011</v>
      </c>
      <c r="G25" s="21" t="n">
        <f>42884608550.0</f>
        <v>4.288460855E10</v>
      </c>
      <c r="H25" s="22" t="n">
        <f>0.0</f>
        <v>0.0</v>
      </c>
      <c r="I25" s="23" t="n">
        <f>0.007</f>
        <v>0.007</v>
      </c>
    </row>
    <row r="26" spans="1:9" ht="24.9" customHeight="1">
      <c r="A26" s="41"/>
      <c r="B26" s="39"/>
      <c r="C26" s="20" t="s">
        <v>17</v>
      </c>
      <c r="D26" s="21" t="n">
        <f>8928.0</f>
        <v>8928.0</v>
      </c>
      <c r="E26" s="22" t="n">
        <f>0.0</f>
        <v>0.0</v>
      </c>
      <c r="F26" s="23" t="n">
        <f>0.018</f>
        <v>0.018</v>
      </c>
      <c r="G26" s="21" t="n">
        <f>61265092800.0</f>
        <v>6.12650928E10</v>
      </c>
      <c r="H26" s="22" t="n">
        <f>0.0</f>
        <v>0.0</v>
      </c>
      <c r="I26" s="23" t="n">
        <f>0.008</f>
        <v>0.008</v>
      </c>
    </row>
    <row r="27" spans="1:9" ht="24.9" customHeight="1">
      <c r="A27" s="42"/>
      <c r="B27" s="39"/>
      <c r="C27" s="24" t="s">
        <v>18</v>
      </c>
      <c r="D27" s="25" t="n">
        <f>36426.0</f>
        <v>36426.0</v>
      </c>
      <c r="E27" s="26" t="n">
        <f>0.0</f>
        <v>0.0</v>
      </c>
      <c r="F27" s="27" t="n">
        <f>0.017</f>
        <v>0.017</v>
      </c>
      <c r="G27" s="25" t="n">
        <f>214889975350.0</f>
        <v>2.1488997535E11</v>
      </c>
      <c r="H27" s="26" t="n">
        <f>0.0</f>
        <v>0.0</v>
      </c>
      <c r="I27" s="27" t="n">
        <f>0.01</f>
        <v>0.01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1382.0</f>
        <v>1382.0</v>
      </c>
      <c r="E28" s="18" t="n">
        <f>1200.0</f>
        <v>1200.0</v>
      </c>
      <c r="F28" s="19" t="n">
        <f>0.001</f>
        <v>0.001</v>
      </c>
      <c r="G28" s="17" t="n">
        <f>2675303500.0</f>
        <v>2.6753035E9</v>
      </c>
      <c r="H28" s="18" t="n">
        <f>1805112000.0</f>
        <v>1.805112E9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82.0</f>
        <v>82.0</v>
      </c>
      <c r="E29" s="22" t="n">
        <f>0.0</f>
        <v>0.0</v>
      </c>
      <c r="F29" s="23" t="n">
        <f>0.0</f>
        <v>0.0</v>
      </c>
      <c r="G29" s="21" t="n">
        <f>395169000.0</f>
        <v>3.95169E8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1091.0</f>
        <v>1091.0</v>
      </c>
      <c r="E30" s="22" t="n">
        <f>36.0</f>
        <v>36.0</v>
      </c>
      <c r="F30" s="23" t="n">
        <f>0.002</f>
        <v>0.002</v>
      </c>
      <c r="G30" s="21" t="n">
        <f>5064304920.0</f>
        <v>5.06430492E9</v>
      </c>
      <c r="H30" s="22" t="n">
        <f>20905920.0</f>
        <v>2.090592E7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2555.0</f>
        <v>2555.0</v>
      </c>
      <c r="E31" s="26" t="n">
        <f>1236.0</f>
        <v>1236.0</v>
      </c>
      <c r="F31" s="27" t="n">
        <f>0.001</f>
        <v>0.001</v>
      </c>
      <c r="G31" s="25" t="n">
        <f>8134777420.0</f>
        <v>8.13477742E9</v>
      </c>
      <c r="H31" s="26" t="n">
        <f>1826017920.0</f>
        <v>1.82601792E9</v>
      </c>
      <c r="I31" s="27" t="n">
        <f>0.0</f>
        <v>0.0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46311.0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46311.0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35820</f>
        <v>35820.0</v>
      </c>
      <c r="E11" s="18" t="n">
        <f>7330</f>
        <v>7330.0</v>
      </c>
      <c r="F11" s="19" t="n">
        <f>1</f>
        <v>1.0</v>
      </c>
      <c r="G11" s="17" t="n">
        <f>14116231540</f>
        <v>1.411623154E10</v>
      </c>
      <c r="H11" s="18" t="n">
        <f>8156527040</f>
        <v>8.15652704E9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19993</f>
        <v>19993.0</v>
      </c>
      <c r="E12" s="22" t="n">
        <f>3832</f>
        <v>3832.0</v>
      </c>
      <c r="F12" s="23" t="n">
        <f>1</f>
        <v>1.0</v>
      </c>
      <c r="G12" s="21" t="n">
        <f>5540941520</f>
        <v>5.54094152E9</v>
      </c>
      <c r="H12" s="22" t="n">
        <f>3275186160</f>
        <v>3.27518616E9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46098</f>
        <v>46098.0</v>
      </c>
      <c r="E13" s="22" t="n">
        <f>21651</f>
        <v>21651.0</v>
      </c>
      <c r="F13" s="23" t="n">
        <f>1</f>
        <v>1.0</v>
      </c>
      <c r="G13" s="21" t="n">
        <f>14756107850</f>
        <v>1.475610785E10</v>
      </c>
      <c r="H13" s="22" t="n">
        <f>11735593210</f>
        <v>1.173559321E10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101911</f>
        <v>101911.0</v>
      </c>
      <c r="E14" s="26" t="n">
        <f>32813</f>
        <v>32813.0</v>
      </c>
      <c r="F14" s="27" t="n">
        <f>1</f>
        <v>1.0</v>
      </c>
      <c r="G14" s="25" t="n">
        <f>34413280910</f>
        <v>3.441328091E10</v>
      </c>
      <c r="H14" s="26" t="n">
        <f>23167306410</f>
        <v>2.316730641E10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2</f>
        <v>2.0</v>
      </c>
      <c r="E15" s="18" t="n">
        <f>0</f>
        <v>0.0</v>
      </c>
      <c r="F15" s="19" t="n">
        <f>0</f>
        <v>0.0</v>
      </c>
      <c r="G15" s="17" t="n">
        <f>40000</f>
        <v>40000.0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46</f>
        <v>46.0</v>
      </c>
      <c r="E16" s="22" t="n">
        <f>0</f>
        <v>0.0</v>
      </c>
      <c r="F16" s="23" t="n">
        <f>0.002</f>
        <v>0.002</v>
      </c>
      <c r="G16" s="21" t="n">
        <f>10650000</f>
        <v>1.065E7</v>
      </c>
      <c r="H16" s="22" t="n">
        <f>0</f>
        <v>0.0</v>
      </c>
      <c r="I16" s="23" t="n">
        <f>0.002</f>
        <v>0.002</v>
      </c>
    </row>
    <row r="17" spans="1:9" ht="24.9" customHeight="1">
      <c r="A17" s="41"/>
      <c r="B17" s="39"/>
      <c r="C17" s="20" t="s">
        <v>17</v>
      </c>
      <c r="D17" s="21" t="n">
        <f>91</f>
        <v>91.0</v>
      </c>
      <c r="E17" s="22" t="n">
        <f>0</f>
        <v>0.0</v>
      </c>
      <c r="F17" s="23" t="n">
        <f>0.002</f>
        <v>0.002</v>
      </c>
      <c r="G17" s="21" t="n">
        <f>5620000</f>
        <v>5620000.0</v>
      </c>
      <c r="H17" s="22" t="n">
        <f>0</f>
        <v>0.0</v>
      </c>
      <c r="I17" s="23" t="n">
        <f>0</f>
        <v>0.0</v>
      </c>
    </row>
    <row r="18" spans="1:9" ht="24.9" customHeight="1">
      <c r="A18" s="41"/>
      <c r="B18" s="39"/>
      <c r="C18" s="24" t="s">
        <v>18</v>
      </c>
      <c r="D18" s="25" t="n">
        <f>139</f>
        <v>139.0</v>
      </c>
      <c r="E18" s="26" t="n">
        <f>0</f>
        <v>0.0</v>
      </c>
      <c r="F18" s="27" t="n">
        <f>0.001</f>
        <v>0.001</v>
      </c>
      <c r="G18" s="25" t="n">
        <f>16310000</f>
        <v>1.631E7</v>
      </c>
      <c r="H18" s="26" t="n">
        <f>0</f>
        <v>0.0</v>
      </c>
      <c r="I18" s="27" t="n">
        <f>0</f>
        <v>0.0</v>
      </c>
    </row>
    <row r="19" spans="1:9" ht="24.9" customHeight="1">
      <c r="A19" s="41"/>
      <c r="B19" s="39" t="s">
        <v>31</v>
      </c>
      <c r="C19" s="16" t="s">
        <v>15</v>
      </c>
      <c r="D19" s="17" t="n">
        <f>35818</f>
        <v>35818.0</v>
      </c>
      <c r="E19" s="18" t="n">
        <f>7330</f>
        <v>7330.0</v>
      </c>
      <c r="F19" s="19" t="n">
        <f>1</f>
        <v>1.0</v>
      </c>
      <c r="G19" s="17" t="n">
        <f>14116191540</f>
        <v>1.411619154E10</v>
      </c>
      <c r="H19" s="18" t="n">
        <f>8156527040</f>
        <v>8.15652704E9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18458</f>
        <v>18458.0</v>
      </c>
      <c r="E20" s="22" t="n">
        <f>3832</f>
        <v>3832.0</v>
      </c>
      <c r="F20" s="23" t="n">
        <f>0.923</f>
        <v>0.923</v>
      </c>
      <c r="G20" s="21" t="n">
        <f>5520848260</f>
        <v>5.52084826E9</v>
      </c>
      <c r="H20" s="22" t="n">
        <f>3275186160</f>
        <v>3.27518616E9</v>
      </c>
      <c r="I20" s="23" t="n">
        <f>0.996</f>
        <v>0.996</v>
      </c>
    </row>
    <row r="21" spans="1:9" ht="24.9" customHeight="1">
      <c r="A21" s="41"/>
      <c r="B21" s="39"/>
      <c r="C21" s="20" t="s">
        <v>17</v>
      </c>
      <c r="D21" s="21" t="n">
        <f>37379</f>
        <v>37379.0</v>
      </c>
      <c r="E21" s="22" t="n">
        <f>19651</f>
        <v>19651.0</v>
      </c>
      <c r="F21" s="23" t="n">
        <f>0.811</f>
        <v>0.811</v>
      </c>
      <c r="G21" s="21" t="n">
        <f>14722064510</f>
        <v>1.472206451E10</v>
      </c>
      <c r="H21" s="22" t="n">
        <f>11727593210</f>
        <v>1.172759321E10</v>
      </c>
      <c r="I21" s="23" t="n">
        <f>0.998</f>
        <v>0.998</v>
      </c>
    </row>
    <row r="22" spans="1:9" ht="24.9" customHeight="1">
      <c r="A22" s="41"/>
      <c r="B22" s="39"/>
      <c r="C22" s="24" t="s">
        <v>18</v>
      </c>
      <c r="D22" s="25" t="n">
        <f>91655</f>
        <v>91655.0</v>
      </c>
      <c r="E22" s="26" t="n">
        <f>30813</f>
        <v>30813.0</v>
      </c>
      <c r="F22" s="27" t="n">
        <f>0.899</f>
        <v>0.899</v>
      </c>
      <c r="G22" s="25" t="n">
        <f>34359104310</f>
        <v>3.435910431E10</v>
      </c>
      <c r="H22" s="26" t="n">
        <f>23159306410</f>
        <v>2.315930641E10</v>
      </c>
      <c r="I22" s="27" t="n">
        <f>0.998</f>
        <v>0.998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1489</f>
        <v>1489.0</v>
      </c>
      <c r="E24" s="22" t="n">
        <f>0</f>
        <v>0.0</v>
      </c>
      <c r="F24" s="23" t="n">
        <f>0.074</f>
        <v>0.074</v>
      </c>
      <c r="G24" s="21" t="n">
        <f>9443260</f>
        <v>9443260.0</v>
      </c>
      <c r="H24" s="22" t="n">
        <f>0</f>
        <v>0.0</v>
      </c>
      <c r="I24" s="23" t="n">
        <f>0.002</f>
        <v>0.002</v>
      </c>
    </row>
    <row r="25" spans="1:9" ht="24.9" customHeight="1">
      <c r="A25" s="41"/>
      <c r="B25" s="39"/>
      <c r="C25" s="20" t="s">
        <v>17</v>
      </c>
      <c r="D25" s="21" t="n">
        <f>8628</f>
        <v>8628.0</v>
      </c>
      <c r="E25" s="22" t="n">
        <f>2000</f>
        <v>2000.0</v>
      </c>
      <c r="F25" s="23" t="n">
        <f>0.187</f>
        <v>0.187</v>
      </c>
      <c r="G25" s="21" t="n">
        <f>28423340</f>
        <v>2.842334E7</v>
      </c>
      <c r="H25" s="22" t="n">
        <f>8000000</f>
        <v>8000000.0</v>
      </c>
      <c r="I25" s="23" t="n">
        <f>0.002</f>
        <v>0.002</v>
      </c>
    </row>
    <row r="26" spans="1:9" ht="24.9" customHeight="1">
      <c r="A26" s="41"/>
      <c r="B26" s="39"/>
      <c r="C26" s="24" t="s">
        <v>18</v>
      </c>
      <c r="D26" s="25" t="n">
        <f>10117</f>
        <v>10117.0</v>
      </c>
      <c r="E26" s="26" t="n">
        <f>2000</f>
        <v>2000.0</v>
      </c>
      <c r="F26" s="27" t="n">
        <f>0.099</f>
        <v>0.099</v>
      </c>
      <c r="G26" s="25" t="n">
        <f>37866600</f>
        <v>3.78666E7</v>
      </c>
      <c r="H26" s="26" t="n">
        <f>8000000</f>
        <v>8000000.0</v>
      </c>
      <c r="I26" s="27" t="n">
        <f>0.001</f>
        <v>0.001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46311.0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46311.0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16190.0</v>
      </c>
      <c r="F12" s="18" t="n">
        <f>1576</f>
        <v>1576.0</v>
      </c>
      <c r="G12" s="17" t="n">
        <v>1.0520406436E12</v>
      </c>
      <c r="H12" s="18" t="n">
        <f>102090728600</f>
        <v>1.020907286E11</v>
      </c>
    </row>
    <row r="13" spans="1:8" ht="24.9" customHeight="1">
      <c r="A13" s="51"/>
      <c r="B13" s="57"/>
      <c r="C13" s="39"/>
      <c r="D13" s="20" t="s">
        <v>16</v>
      </c>
      <c r="E13" s="21" t="n">
        <v>10739.0</v>
      </c>
      <c r="F13" s="22" t="n">
        <f>1457</f>
        <v>1457.0</v>
      </c>
      <c r="G13" s="21" t="n">
        <v>7.029102135E11</v>
      </c>
      <c r="H13" s="22" t="n">
        <f>94812673500</f>
        <v>9.48126735E10</v>
      </c>
    </row>
    <row r="14" spans="1:8" ht="24.9" customHeight="1">
      <c r="A14" s="51"/>
      <c r="B14" s="57"/>
      <c r="C14" s="39"/>
      <c r="D14" s="20" t="s">
        <v>17</v>
      </c>
      <c r="E14" s="21" t="n">
        <v>26621.0</v>
      </c>
      <c r="F14" s="22" t="n">
        <f>10621</f>
        <v>10621.0</v>
      </c>
      <c r="G14" s="21" t="n">
        <v>1.74625815408E12</v>
      </c>
      <c r="H14" s="22" t="n">
        <f>696197918080</f>
        <v>6.9619791808E11</v>
      </c>
    </row>
    <row r="15" spans="1:8" ht="24.9" customHeight="1">
      <c r="A15" s="51"/>
      <c r="B15" s="57"/>
      <c r="C15" s="39"/>
      <c r="D15" s="24" t="s">
        <v>18</v>
      </c>
      <c r="E15" s="25" t="n">
        <v>53550.0</v>
      </c>
      <c r="F15" s="26" t="n">
        <f>13654</f>
        <v>13654.0</v>
      </c>
      <c r="G15" s="25" t="n">
        <v>3.50120901118E12</v>
      </c>
      <c r="H15" s="26" t="n">
        <f>893101320180</f>
        <v>8.9310132018E11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397860.0</v>
      </c>
      <c r="F16" s="18" t="n">
        <f>37145</f>
        <v>37145.0</v>
      </c>
      <c r="G16" s="17" t="n">
        <v>2.58249327849E12</v>
      </c>
      <c r="H16" s="18" t="n">
        <f>240933580990</f>
        <v>2.4093358099E11</v>
      </c>
    </row>
    <row r="17" spans="1:8" ht="24.9" customHeight="1">
      <c r="A17" s="51"/>
      <c r="B17" s="57"/>
      <c r="C17" s="39"/>
      <c r="D17" s="20" t="s">
        <v>16</v>
      </c>
      <c r="E17" s="21" t="n">
        <v>196938.0</v>
      </c>
      <c r="F17" s="22" t="n">
        <f>14149</f>
        <v>14149.0</v>
      </c>
      <c r="G17" s="21" t="n">
        <v>1.28960652808E12</v>
      </c>
      <c r="H17" s="22" t="n">
        <f>92690436080</f>
        <v>9.269043608E10</v>
      </c>
    </row>
    <row r="18" spans="1:8" ht="24.9" customHeight="1">
      <c r="A18" s="51"/>
      <c r="B18" s="57"/>
      <c r="C18" s="39"/>
      <c r="D18" s="20" t="s">
        <v>17</v>
      </c>
      <c r="E18" s="21" t="n">
        <v>191103.0</v>
      </c>
      <c r="F18" s="22" t="n">
        <f>14595</f>
        <v>14595.0</v>
      </c>
      <c r="G18" s="21" t="n">
        <v>1.254372814438E12</v>
      </c>
      <c r="H18" s="22" t="n">
        <f>95802762938</f>
        <v>9.5802762938E10</v>
      </c>
    </row>
    <row r="19" spans="1:8" ht="24.9" customHeight="1">
      <c r="A19" s="51"/>
      <c r="B19" s="57"/>
      <c r="C19" s="39"/>
      <c r="D19" s="24" t="s">
        <v>18</v>
      </c>
      <c r="E19" s="25" t="n">
        <v>785901.0</v>
      </c>
      <c r="F19" s="26" t="n">
        <f>65889</f>
        <v>65889.0</v>
      </c>
      <c r="G19" s="25" t="n">
        <v>5.126472621008E12</v>
      </c>
      <c r="H19" s="26" t="n">
        <f>429426780008</f>
        <v>4.29426780008E11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659752.0</v>
      </c>
      <c r="F20" s="18" t="str">
        <f>"－"</f>
        <v>－</v>
      </c>
      <c r="G20" s="17" t="n">
        <v>4.2814339975E11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230776.0</v>
      </c>
      <c r="F21" s="22" t="str">
        <f>"－"</f>
        <v>－</v>
      </c>
      <c r="G21" s="21" t="n">
        <v>1.511281787E11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211959.0</v>
      </c>
      <c r="F22" s="22" t="str">
        <f>"－"</f>
        <v>－</v>
      </c>
      <c r="G22" s="21" t="n">
        <v>1.3913944675E11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1102487.0</v>
      </c>
      <c r="F23" s="26" t="str">
        <f>"－"</f>
        <v>－</v>
      </c>
      <c r="G23" s="25" t="n">
        <v>7.184110252E11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20475.0</v>
      </c>
      <c r="F24" s="18" t="n">
        <f>109</f>
        <v>109.0</v>
      </c>
      <c r="G24" s="17" t="n">
        <v>8.24056471E11</v>
      </c>
      <c r="H24" s="18" t="n">
        <f>4374696000</f>
        <v>4.374696E9</v>
      </c>
    </row>
    <row r="25" spans="1:8" ht="24.9" customHeight="1">
      <c r="A25" s="51"/>
      <c r="B25" s="57"/>
      <c r="C25" s="39"/>
      <c r="D25" s="20" t="s">
        <v>16</v>
      </c>
      <c r="E25" s="21" t="n">
        <v>21321.0</v>
      </c>
      <c r="F25" s="22" t="n">
        <f>300</f>
        <v>300.0</v>
      </c>
      <c r="G25" s="21" t="n">
        <v>8.6736388305E11</v>
      </c>
      <c r="H25" s="22" t="n">
        <f>12219888050</f>
        <v>1.221988805E10</v>
      </c>
    </row>
    <row r="26" spans="1:8" ht="24.9" customHeight="1">
      <c r="A26" s="51"/>
      <c r="B26" s="57"/>
      <c r="C26" s="39"/>
      <c r="D26" s="20" t="s">
        <v>17</v>
      </c>
      <c r="E26" s="21" t="n">
        <v>34480.0</v>
      </c>
      <c r="F26" s="22" t="n">
        <f>4167</f>
        <v>4167.0</v>
      </c>
      <c r="G26" s="21" t="n">
        <v>1.4062728193E12</v>
      </c>
      <c r="H26" s="22" t="n">
        <f>169846009300</f>
        <v>1.698460093E11</v>
      </c>
    </row>
    <row r="27" spans="1:8" ht="24.9" customHeight="1">
      <c r="A27" s="51"/>
      <c r="B27" s="57"/>
      <c r="C27" s="39"/>
      <c r="D27" s="24" t="s">
        <v>18</v>
      </c>
      <c r="E27" s="25" t="n">
        <v>76276.0</v>
      </c>
      <c r="F27" s="26" t="n">
        <f>4576</f>
        <v>4576.0</v>
      </c>
      <c r="G27" s="25" t="n">
        <v>3.09769317335E12</v>
      </c>
      <c r="H27" s="26" t="n">
        <f>186440593350</f>
        <v>1.8644059335E11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6147.0</v>
      </c>
      <c r="F28" s="18" t="n">
        <f>399</f>
        <v>399.0</v>
      </c>
      <c r="G28" s="17" t="n">
        <v>2.472673963E10</v>
      </c>
      <c r="H28" s="18" t="n">
        <f>1603848130</f>
        <v>1.60384813E9</v>
      </c>
    </row>
    <row r="29" spans="1:8" ht="24.9" customHeight="1">
      <c r="A29" s="51"/>
      <c r="B29" s="57"/>
      <c r="C29" s="39"/>
      <c r="D29" s="20" t="s">
        <v>16</v>
      </c>
      <c r="E29" s="21" t="n">
        <v>7622.0</v>
      </c>
      <c r="F29" s="22" t="n">
        <f>352</f>
        <v>352.0</v>
      </c>
      <c r="G29" s="21" t="n">
        <v>3.098282685E10</v>
      </c>
      <c r="H29" s="22" t="n">
        <f>1431756350</f>
        <v>1.43175635E9</v>
      </c>
    </row>
    <row r="30" spans="1:8" ht="24.9" customHeight="1">
      <c r="A30" s="51"/>
      <c r="B30" s="57"/>
      <c r="C30" s="39"/>
      <c r="D30" s="20" t="s">
        <v>17</v>
      </c>
      <c r="E30" s="21" t="n">
        <v>8139.0</v>
      </c>
      <c r="F30" s="22" t="n">
        <f>209</f>
        <v>209.0</v>
      </c>
      <c r="G30" s="21" t="n">
        <v>3.319172965E10</v>
      </c>
      <c r="H30" s="22" t="n">
        <f>852263900</f>
        <v>8.522639E8</v>
      </c>
    </row>
    <row r="31" spans="1:8" ht="24.9" customHeight="1">
      <c r="A31" s="51"/>
      <c r="B31" s="57"/>
      <c r="C31" s="39"/>
      <c r="D31" s="24" t="s">
        <v>18</v>
      </c>
      <c r="E31" s="25" t="n">
        <v>21908.0</v>
      </c>
      <c r="F31" s="26" t="n">
        <f>960</f>
        <v>960.0</v>
      </c>
      <c r="G31" s="25" t="n">
        <v>8.890129613E10</v>
      </c>
      <c r="H31" s="26" t="n">
        <f>3887868380</f>
        <v>3.88786838E9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580.0</v>
      </c>
      <c r="F36" s="18" t="n">
        <f>2</f>
        <v>2.0</v>
      </c>
      <c r="G36" s="17" t="n">
        <v>2.10793302E9</v>
      </c>
      <c r="H36" s="18" t="n">
        <f>7240520</f>
        <v>7240520.0</v>
      </c>
    </row>
    <row r="37" spans="1:8" ht="24.9" customHeight="1">
      <c r="A37" s="51"/>
      <c r="B37" s="57"/>
      <c r="C37" s="39"/>
      <c r="D37" s="20" t="s">
        <v>16</v>
      </c>
      <c r="E37" s="21" t="n">
        <v>1361.0</v>
      </c>
      <c r="F37" s="22" t="n">
        <f>2</f>
        <v>2.0</v>
      </c>
      <c r="G37" s="21" t="n">
        <v>5.012775E9</v>
      </c>
      <c r="H37" s="22" t="n">
        <f>7363500</f>
        <v>7363500.0</v>
      </c>
    </row>
    <row r="38" spans="1:8" ht="24.9" customHeight="1">
      <c r="A38" s="51"/>
      <c r="B38" s="57"/>
      <c r="C38" s="39"/>
      <c r="D38" s="20" t="s">
        <v>17</v>
      </c>
      <c r="E38" s="21" t="n">
        <v>1165.0</v>
      </c>
      <c r="F38" s="22" t="n">
        <f>18</f>
        <v>18.0</v>
      </c>
      <c r="G38" s="21" t="n">
        <v>4.29864701E9</v>
      </c>
      <c r="H38" s="22" t="n">
        <f>66480010</f>
        <v>6.648001E7</v>
      </c>
    </row>
    <row r="39" spans="1:8" ht="24.9" customHeight="1">
      <c r="A39" s="51"/>
      <c r="B39" s="57"/>
      <c r="C39" s="39"/>
      <c r="D39" s="24" t="s">
        <v>18</v>
      </c>
      <c r="E39" s="25" t="n">
        <v>3106.0</v>
      </c>
      <c r="F39" s="26" t="n">
        <f>22</f>
        <v>22.0</v>
      </c>
      <c r="G39" s="25" t="n">
        <v>1.141935503E10</v>
      </c>
      <c r="H39" s="26" t="n">
        <f>81084030</f>
        <v>8.108403E7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1482.0</v>
      </c>
      <c r="F45" s="22" t="n">
        <f>1482</f>
        <v>1482.0</v>
      </c>
      <c r="G45" s="21" t="n">
        <v>1.068522E10</v>
      </c>
      <c r="H45" s="22" t="n">
        <f>10685220000</f>
        <v>1.068522E10</v>
      </c>
    </row>
    <row r="46" spans="1:8" ht="24.9" customHeight="1">
      <c r="A46" s="51"/>
      <c r="B46" s="57"/>
      <c r="C46" s="39"/>
      <c r="D46" s="20" t="s">
        <v>17</v>
      </c>
      <c r="E46" s="21" t="n">
        <v>33.0</v>
      </c>
      <c r="F46" s="22" t="n">
        <f>33</f>
        <v>33.0</v>
      </c>
      <c r="G46" s="21" t="n">
        <v>2.388672E8</v>
      </c>
      <c r="H46" s="22" t="n">
        <f>238867200</f>
        <v>2.388672E8</v>
      </c>
    </row>
    <row r="47" spans="1:8" ht="24.9" customHeight="1">
      <c r="A47" s="51"/>
      <c r="B47" s="57"/>
      <c r="C47" s="39"/>
      <c r="D47" s="24" t="s">
        <v>18</v>
      </c>
      <c r="E47" s="25" t="n">
        <v>1515.0</v>
      </c>
      <c r="F47" s="26" t="n">
        <f>1515</f>
        <v>1515.0</v>
      </c>
      <c r="G47" s="25" t="n">
        <v>1.09240872E10</v>
      </c>
      <c r="H47" s="26" t="n">
        <f>10924087200</f>
        <v>1.09240872E10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0.0</v>
      </c>
      <c r="F48" s="18" t="n">
        <f>0</f>
        <v>0.0</v>
      </c>
      <c r="G48" s="17" t="n">
        <v>0.0</v>
      </c>
      <c r="H48" s="18" t="n">
        <f>0</f>
        <v>0.0</v>
      </c>
    </row>
    <row r="49" spans="1:8" ht="24.9" customHeight="1">
      <c r="A49" s="51"/>
      <c r="B49" s="57"/>
      <c r="C49" s="39"/>
      <c r="D49" s="20" t="s">
        <v>16</v>
      </c>
      <c r="E49" s="21" t="n">
        <v>79.0</v>
      </c>
      <c r="F49" s="22" t="n">
        <f>0</f>
        <v>0.0</v>
      </c>
      <c r="G49" s="21" t="n">
        <v>1.317475E8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774.0</v>
      </c>
      <c r="F50" s="22" t="n">
        <f>701</f>
        <v>701.0</v>
      </c>
      <c r="G50" s="21" t="n">
        <v>1.28704349E9</v>
      </c>
      <c r="H50" s="22" t="n">
        <f>1165526490</f>
        <v>1.16552649E9</v>
      </c>
    </row>
    <row r="51" spans="1:8" ht="24.9" customHeight="1">
      <c r="A51" s="51"/>
      <c r="B51" s="57"/>
      <c r="C51" s="39"/>
      <c r="D51" s="24" t="s">
        <v>18</v>
      </c>
      <c r="E51" s="25" t="n">
        <v>853.0</v>
      </c>
      <c r="F51" s="26" t="n">
        <f>701</f>
        <v>701.0</v>
      </c>
      <c r="G51" s="25" t="n">
        <v>1.41879099E9</v>
      </c>
      <c r="H51" s="26" t="n">
        <f>1165526490</f>
        <v>1.16552649E9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755.0</v>
      </c>
      <c r="F56" s="18" t="n">
        <f>10</f>
        <v>10.0</v>
      </c>
      <c r="G56" s="17" t="n">
        <v>5.66695E8</v>
      </c>
      <c r="H56" s="18" t="n">
        <f>7504000</f>
        <v>7504000.0</v>
      </c>
    </row>
    <row r="57" spans="1:8" ht="24.9" customHeight="1">
      <c r="A57" s="51"/>
      <c r="B57" s="57"/>
      <c r="C57" s="39"/>
      <c r="D57" s="20" t="s">
        <v>16</v>
      </c>
      <c r="E57" s="21" t="n">
        <v>1064.0</v>
      </c>
      <c r="F57" s="22" t="n">
        <f>19</f>
        <v>19.0</v>
      </c>
      <c r="G57" s="21" t="n">
        <v>8.100742E8</v>
      </c>
      <c r="H57" s="22" t="n">
        <f>14498200</f>
        <v>1.44982E7</v>
      </c>
    </row>
    <row r="58" spans="1:8" ht="24.9" customHeight="1">
      <c r="A58" s="51"/>
      <c r="B58" s="57"/>
      <c r="C58" s="39"/>
      <c r="D58" s="20" t="s">
        <v>17</v>
      </c>
      <c r="E58" s="21" t="n">
        <v>1128.0</v>
      </c>
      <c r="F58" s="22" t="n">
        <f>35</f>
        <v>35.0</v>
      </c>
      <c r="G58" s="21" t="n">
        <v>8.6688647E8</v>
      </c>
      <c r="H58" s="22" t="n">
        <f>27318470</f>
        <v>2.731847E7</v>
      </c>
    </row>
    <row r="59" spans="1:8" ht="24.9" customHeight="1">
      <c r="A59" s="51"/>
      <c r="B59" s="57"/>
      <c r="C59" s="39"/>
      <c r="D59" s="24" t="s">
        <v>18</v>
      </c>
      <c r="E59" s="25" t="n">
        <v>2947.0</v>
      </c>
      <c r="F59" s="26" t="n">
        <f>64</f>
        <v>64.0</v>
      </c>
      <c r="G59" s="25" t="n">
        <v>2.24365567E9</v>
      </c>
      <c r="H59" s="26" t="n">
        <f>49320670</f>
        <v>4.932067E7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180.0</v>
      </c>
      <c r="F60" s="18" t="n">
        <f>2</f>
        <v>2.0</v>
      </c>
      <c r="G60" s="17" t="n">
        <v>9.389678E8</v>
      </c>
      <c r="H60" s="18" t="n">
        <f>10446300</f>
        <v>1.04463E7</v>
      </c>
    </row>
    <row r="61" spans="1:8" ht="24.9" customHeight="1">
      <c r="A61" s="51"/>
      <c r="B61" s="57"/>
      <c r="C61" s="39"/>
      <c r="D61" s="20" t="s">
        <v>16</v>
      </c>
      <c r="E61" s="21" t="n">
        <v>11.0</v>
      </c>
      <c r="F61" s="22" t="n">
        <f>0</f>
        <v>0.0</v>
      </c>
      <c r="G61" s="21" t="n">
        <v>5.76324E7</v>
      </c>
      <c r="H61" s="22" t="n">
        <f>0</f>
        <v>0.0</v>
      </c>
    </row>
    <row r="62" spans="1:8" ht="24.9" customHeight="1">
      <c r="A62" s="51"/>
      <c r="B62" s="57"/>
      <c r="C62" s="39"/>
      <c r="D62" s="20" t="s">
        <v>17</v>
      </c>
      <c r="E62" s="21" t="n">
        <v>33.0</v>
      </c>
      <c r="F62" s="22" t="n">
        <f>8</f>
        <v>8.0</v>
      </c>
      <c r="G62" s="21" t="n">
        <v>1.731828E8</v>
      </c>
      <c r="H62" s="22" t="n">
        <f>41987500</f>
        <v>4.19875E7</v>
      </c>
    </row>
    <row r="63" spans="1:8" ht="24.9" customHeight="1">
      <c r="A63" s="51"/>
      <c r="B63" s="57"/>
      <c r="C63" s="39"/>
      <c r="D63" s="24" t="s">
        <v>18</v>
      </c>
      <c r="E63" s="25" t="n">
        <v>224.0</v>
      </c>
      <c r="F63" s="26" t="n">
        <f>10</f>
        <v>10.0</v>
      </c>
      <c r="G63" s="25" t="n">
        <v>1.169783E9</v>
      </c>
      <c r="H63" s="26" t="n">
        <f>52433800</f>
        <v>5.24338E7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7.0</v>
      </c>
      <c r="F76" s="18" t="n">
        <f>0</f>
        <v>0.0</v>
      </c>
      <c r="G76" s="17" t="n">
        <v>2252500.0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13.0</v>
      </c>
      <c r="F77" s="22" t="n">
        <f>0</f>
        <v>0.0</v>
      </c>
      <c r="G77" s="21" t="n">
        <v>4186500.0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11.0</v>
      </c>
      <c r="F78" s="22" t="n">
        <f>0</f>
        <v>0.0</v>
      </c>
      <c r="G78" s="21" t="n">
        <v>3582500.0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31.0</v>
      </c>
      <c r="F79" s="26" t="n">
        <f>0</f>
        <v>0.0</v>
      </c>
      <c r="G79" s="25" t="n">
        <v>1.00215E7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873.0</v>
      </c>
      <c r="F92" s="18" t="n">
        <f>0</f>
        <v>0.0</v>
      </c>
      <c r="G92" s="17" t="n">
        <v>1.3718698E9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40.0</v>
      </c>
      <c r="F93" s="22" t="n">
        <f>0</f>
        <v>0.0</v>
      </c>
      <c r="G93" s="21" t="n">
        <v>6.2963E7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403.0</v>
      </c>
      <c r="F94" s="22" t="n">
        <f>0</f>
        <v>0.0</v>
      </c>
      <c r="G94" s="21" t="n">
        <v>6.335412E8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1316.0</v>
      </c>
      <c r="F95" s="26" t="n">
        <f>0</f>
        <v>0.0</v>
      </c>
      <c r="G95" s="25" t="n">
        <v>2.068374E9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13.0</v>
      </c>
      <c r="F96" s="18" t="n">
        <f>0</f>
        <v>0.0</v>
      </c>
      <c r="G96" s="17" t="n">
        <v>3.06384E7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0.0</v>
      </c>
      <c r="F97" s="22" t="n">
        <f>0</f>
        <v>0.0</v>
      </c>
      <c r="G97" s="21" t="n">
        <v>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0.0</v>
      </c>
      <c r="F98" s="22" t="n">
        <f>0</f>
        <v>0.0</v>
      </c>
      <c r="G98" s="21" t="n">
        <v>0.0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13.0</v>
      </c>
      <c r="F99" s="26" t="n">
        <f>0</f>
        <v>0.0</v>
      </c>
      <c r="G99" s="25" t="n">
        <v>3.06384E7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10.0</v>
      </c>
      <c r="F100" s="18" t="n">
        <f>0</f>
        <v>0.0</v>
      </c>
      <c r="G100" s="17" t="n">
        <v>1.7668E7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10.0</v>
      </c>
      <c r="F103" s="26" t="n">
        <f>0</f>
        <v>0.0</v>
      </c>
      <c r="G103" s="25" t="n">
        <v>1.7668E7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26331.0</v>
      </c>
      <c r="F108" s="18" t="n">
        <f>375</f>
        <v>375.0</v>
      </c>
      <c r="G108" s="17" t="n">
        <v>3.31513032E12</v>
      </c>
      <c r="H108" s="18" t="n">
        <f>47157430000</f>
        <v>4.715743E10</v>
      </c>
    </row>
    <row r="109" spans="1:8" ht="24.9" customHeight="1">
      <c r="A109" s="51"/>
      <c r="B109" s="57"/>
      <c r="C109" s="39"/>
      <c r="D109" s="20" t="s">
        <v>16</v>
      </c>
      <c r="E109" s="21" t="n">
        <v>23491.0</v>
      </c>
      <c r="F109" s="22" t="n">
        <f>591</f>
        <v>591.0</v>
      </c>
      <c r="G109" s="21" t="n">
        <v>2.94931658E12</v>
      </c>
      <c r="H109" s="22" t="n">
        <f>74352330000</f>
        <v>7.435233E10</v>
      </c>
    </row>
    <row r="110" spans="1:8" ht="24.9" customHeight="1">
      <c r="A110" s="51"/>
      <c r="B110" s="57"/>
      <c r="C110" s="39"/>
      <c r="D110" s="20" t="s">
        <v>17</v>
      </c>
      <c r="E110" s="21" t="n">
        <v>20438.0</v>
      </c>
      <c r="F110" s="22" t="n">
        <f>2802</f>
        <v>2802.0</v>
      </c>
      <c r="G110" s="21" t="n">
        <v>2.56447945E12</v>
      </c>
      <c r="H110" s="22" t="n">
        <f>351687200000</f>
        <v>3.516872E11</v>
      </c>
    </row>
    <row r="111" spans="1:8" ht="24.9" customHeight="1">
      <c r="A111" s="51"/>
      <c r="B111" s="57"/>
      <c r="C111" s="39"/>
      <c r="D111" s="24" t="s">
        <v>18</v>
      </c>
      <c r="E111" s="25" t="n">
        <v>70260.0</v>
      </c>
      <c r="F111" s="26" t="n">
        <f>3768</f>
        <v>3768.0</v>
      </c>
      <c r="G111" s="25" t="n">
        <v>8.82892635E12</v>
      </c>
      <c r="H111" s="26" t="n">
        <f>473196960000</f>
        <v>4.7319696E11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2558.0</v>
      </c>
      <c r="F113" s="22" t="n">
        <f>0</f>
        <v>0.0</v>
      </c>
      <c r="G113" s="21" t="n">
        <v>3.2118393E10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722.0</v>
      </c>
      <c r="F114" s="22" t="n">
        <f>0</f>
        <v>0.0</v>
      </c>
      <c r="G114" s="21" t="n">
        <v>9.058691E9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3280.0</v>
      </c>
      <c r="F115" s="26" t="n">
        <f>0</f>
        <v>0.0</v>
      </c>
      <c r="G115" s="25" t="n">
        <v>4.1177084E10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50.0</v>
      </c>
      <c r="F117" s="22" t="n">
        <f>0</f>
        <v>0.0</v>
      </c>
      <c r="G117" s="21" t="n">
        <v>4.471E8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211.0</v>
      </c>
      <c r="F118" s="22" t="n">
        <f>0</f>
        <v>0.0</v>
      </c>
      <c r="G118" s="21" t="n">
        <v>1.881787E9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261.0</v>
      </c>
      <c r="F119" s="26" t="n">
        <f>0</f>
        <v>0.0</v>
      </c>
      <c r="G119" s="25" t="n">
        <v>2.328887E9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5337.0</v>
      </c>
      <c r="F120" s="18" t="n">
        <f>0</f>
        <v>0.0</v>
      </c>
      <c r="G120" s="17" t="n">
        <v>1.31522160625E11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1654.0</v>
      </c>
      <c r="F121" s="22" t="n">
        <f>0</f>
        <v>0.0</v>
      </c>
      <c r="G121" s="21" t="n">
        <v>4.0720331875E10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1939.0</v>
      </c>
      <c r="F122" s="22" t="n">
        <f>0</f>
        <v>0.0</v>
      </c>
      <c r="G122" s="21" t="n">
        <v>4.784822E10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8930.0</v>
      </c>
      <c r="F123" s="26" t="n">
        <f>0</f>
        <v>0.0</v>
      </c>
      <c r="G123" s="25" t="n">
        <v>2.200907125E11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3285.0</v>
      </c>
      <c r="F124" s="18" t="n">
        <f>0</f>
        <v>0.0</v>
      </c>
      <c r="G124" s="17" t="n">
        <v>7.0873001E10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1587.0</v>
      </c>
      <c r="F125" s="22" t="n">
        <f>0</f>
        <v>0.0</v>
      </c>
      <c r="G125" s="21" t="n">
        <v>3.4266974E10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2262.0</v>
      </c>
      <c r="F126" s="22" t="n">
        <f>0</f>
        <v>0.0</v>
      </c>
      <c r="G126" s="21" t="n">
        <v>4.8997346E10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7134.0</v>
      </c>
      <c r="F127" s="26" t="n">
        <f>0</f>
        <v>0.0</v>
      </c>
      <c r="G127" s="25" t="n">
        <v>1.54137321E11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11771.0</v>
      </c>
      <c r="F128" s="18" t="n">
        <f>0</f>
        <v>0.0</v>
      </c>
      <c r="G128" s="17" t="n">
        <v>2.50656109E10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475.0</v>
      </c>
      <c r="F129" s="22" t="n">
        <f>0</f>
        <v>0.0</v>
      </c>
      <c r="G129" s="21" t="n">
        <v>1.0127857E9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1280.0</v>
      </c>
      <c r="F130" s="22" t="n">
        <f>0</f>
        <v>0.0</v>
      </c>
      <c r="G130" s="21" t="n">
        <v>2.7326788E9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13526.0</v>
      </c>
      <c r="F131" s="26" t="n">
        <f>0</f>
        <v>0.0</v>
      </c>
      <c r="G131" s="25" t="n">
        <v>2.88110754E10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5039.0</v>
      </c>
      <c r="F132" s="18" t="n">
        <f>0</f>
        <v>0.0</v>
      </c>
      <c r="G132" s="17" t="n">
        <v>1.09083464E10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1278.0</v>
      </c>
      <c r="F133" s="22" t="n">
        <f>0</f>
        <v>0.0</v>
      </c>
      <c r="G133" s="21" t="n">
        <v>2.77062715E9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2227.0</v>
      </c>
      <c r="F134" s="22" t="n">
        <f>0</f>
        <v>0.0</v>
      </c>
      <c r="G134" s="21" t="n">
        <v>4.84084075E9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8544.0</v>
      </c>
      <c r="F135" s="26" t="n">
        <f>0</f>
        <v>0.0</v>
      </c>
      <c r="G135" s="25" t="n">
        <v>1.85198143E10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14.0</v>
      </c>
      <c r="F136" s="18" t="n">
        <f>0</f>
        <v>0.0</v>
      </c>
      <c r="G136" s="17" t="n">
        <v>2.95147E7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34.0</v>
      </c>
      <c r="F137" s="22" t="n">
        <f>0</f>
        <v>0.0</v>
      </c>
      <c r="G137" s="21" t="n">
        <v>7.16776E7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44.0</v>
      </c>
      <c r="F138" s="22" t="n">
        <f>0</f>
        <v>0.0</v>
      </c>
      <c r="G138" s="21" t="n">
        <v>9.29364E7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92.0</v>
      </c>
      <c r="F139" s="26" t="n">
        <f>0</f>
        <v>0.0</v>
      </c>
      <c r="G139" s="25" t="n">
        <v>1.941287E8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11.0</v>
      </c>
      <c r="F141" s="22" t="n">
        <f>0</f>
        <v>0.0</v>
      </c>
      <c r="G141" s="21" t="n">
        <v>9.4017E7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11.0</v>
      </c>
      <c r="F143" s="26" t="n">
        <f>0</f>
        <v>0.0</v>
      </c>
      <c r="G143" s="25" t="n">
        <v>9.4017E7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689.0</v>
      </c>
      <c r="F144" s="18" t="n">
        <f>0</f>
        <v>0.0</v>
      </c>
      <c r="G144" s="17" t="n">
        <v>2.758204E9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696.0</v>
      </c>
      <c r="F145" s="22" t="n">
        <f>0</f>
        <v>0.0</v>
      </c>
      <c r="G145" s="21" t="n">
        <v>2.798288E9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550.0</v>
      </c>
      <c r="F146" s="22" t="n">
        <f>0</f>
        <v>0.0</v>
      </c>
      <c r="G146" s="21" t="n">
        <v>2.226603E9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1935.0</v>
      </c>
      <c r="F147" s="26" t="n">
        <f>0</f>
        <v>0.0</v>
      </c>
      <c r="G147" s="25" t="n">
        <v>7.783095E9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413.0</v>
      </c>
      <c r="F148" s="18" t="n">
        <f>0</f>
        <v>0.0</v>
      </c>
      <c r="G148" s="17" t="n">
        <v>3.40363E8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276.0</v>
      </c>
      <c r="F149" s="22" t="n">
        <f>0</f>
        <v>0.0</v>
      </c>
      <c r="G149" s="21" t="n">
        <v>2.288248E8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1626.0</v>
      </c>
      <c r="F150" s="22" t="n">
        <f>0</f>
        <v>0.0</v>
      </c>
      <c r="G150" s="21" t="n">
        <v>1.3583017E9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2315.0</v>
      </c>
      <c r="F151" s="26" t="n">
        <f>0</f>
        <v>0.0</v>
      </c>
      <c r="G151" s="25" t="n">
        <v>1.9274895E9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637.0</v>
      </c>
      <c r="F152" s="18" t="n">
        <f>0</f>
        <v>0.0</v>
      </c>
      <c r="G152" s="17" t="n">
        <v>5.110757E8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370.0</v>
      </c>
      <c r="F153" s="22" t="n">
        <f>0</f>
        <v>0.0</v>
      </c>
      <c r="G153" s="21" t="n">
        <v>2.991193E8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655.0</v>
      </c>
      <c r="F154" s="22" t="n">
        <f>0</f>
        <v>0.0</v>
      </c>
      <c r="G154" s="21" t="n">
        <v>5.3250725E8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1662.0</v>
      </c>
      <c r="F155" s="26" t="n">
        <f>0</f>
        <v>0.0</v>
      </c>
      <c r="G155" s="25" t="n">
        <v>1.34270225E9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102.0</v>
      </c>
      <c r="F156" s="18" t="n">
        <f>0</f>
        <v>0.0</v>
      </c>
      <c r="G156" s="17" t="n">
        <v>8.27743E7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231.0</v>
      </c>
      <c r="F157" s="22" t="n">
        <f>0</f>
        <v>0.0</v>
      </c>
      <c r="G157" s="21" t="n">
        <v>1.884265E8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107.0</v>
      </c>
      <c r="F158" s="22" t="n">
        <f>0</f>
        <v>0.0</v>
      </c>
      <c r="G158" s="21" t="n">
        <v>8.78659E7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440.0</v>
      </c>
      <c r="F159" s="26" t="n">
        <f>0</f>
        <v>0.0</v>
      </c>
      <c r="G159" s="25" t="n">
        <v>3.590667E8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73.0</v>
      </c>
      <c r="F168" s="18" t="n">
        <f>0</f>
        <v>0.0</v>
      </c>
      <c r="G168" s="17" t="n">
        <v>1.63478E8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513.0</v>
      </c>
      <c r="F169" s="22" t="n">
        <f>0</f>
        <v>0.0</v>
      </c>
      <c r="G169" s="21" t="n">
        <v>1.1538685E9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169.0</v>
      </c>
      <c r="F170" s="22" t="n">
        <f>0</f>
        <v>0.0</v>
      </c>
      <c r="G170" s="21" t="n">
        <v>3.80111E8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755.0</v>
      </c>
      <c r="F171" s="26" t="n">
        <f>0</f>
        <v>0.0</v>
      </c>
      <c r="G171" s="25" t="n">
        <v>1.6974575E9</v>
      </c>
      <c r="H171" s="26" t="n">
        <f>0</f>
        <v>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4.0</v>
      </c>
      <c r="F176" s="18" t="n">
        <f>0</f>
        <v>0.0</v>
      </c>
      <c r="G176" s="17" t="n">
        <v>7906000.0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0.0</v>
      </c>
      <c r="F177" s="22" t="n">
        <f>0</f>
        <v>0.0</v>
      </c>
      <c r="G177" s="21" t="n">
        <v>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8.0</v>
      </c>
      <c r="F178" s="22" t="n">
        <f>0</f>
        <v>0.0</v>
      </c>
      <c r="G178" s="21" t="n">
        <v>1.5902E7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12.0</v>
      </c>
      <c r="F179" s="26" t="n">
        <f>0</f>
        <v>0.0</v>
      </c>
      <c r="G179" s="25" t="n">
        <v>2.3808E7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182.0</v>
      </c>
      <c r="F204" s="18" t="n">
        <f>0</f>
        <v>0.0</v>
      </c>
      <c r="G204" s="17" t="n">
        <v>8.701915E8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82.0</v>
      </c>
      <c r="F205" s="22" t="n">
        <f>0</f>
        <v>0.0</v>
      </c>
      <c r="G205" s="21" t="n">
        <v>3.95169E8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1055.0</v>
      </c>
      <c r="F206" s="22" t="n">
        <f>0</f>
        <v>0.0</v>
      </c>
      <c r="G206" s="21" t="n">
        <v>5.043399E9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1319.0</v>
      </c>
      <c r="F207" s="26" t="n">
        <f>0</f>
        <v>0.0</v>
      </c>
      <c r="G207" s="25" t="n">
        <v>6.3087595E9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1200.0</v>
      </c>
      <c r="F208" s="18" t="n">
        <f>1200</f>
        <v>1200.0</v>
      </c>
      <c r="G208" s="17" t="n">
        <v>1.805112E9</v>
      </c>
      <c r="H208" s="18" t="n">
        <f>1805112000</f>
        <v>1.805112E9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0.0</v>
      </c>
      <c r="F210" s="22" t="n">
        <f>0</f>
        <v>0.0</v>
      </c>
      <c r="G210" s="21" t="n">
        <v>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1200.0</v>
      </c>
      <c r="F211" s="26" t="n">
        <f>1200</f>
        <v>1200.0</v>
      </c>
      <c r="G211" s="25" t="n">
        <v>1.805112E9</v>
      </c>
      <c r="H211" s="26" t="n">
        <f>1805112000</f>
        <v>1.805112E9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36.0</v>
      </c>
      <c r="F222" s="22" t="n">
        <f>36</f>
        <v>36.0</v>
      </c>
      <c r="G222" s="21" t="n">
        <v>2.090592E7</v>
      </c>
      <c r="H222" s="22" t="n">
        <f>20905920</f>
        <v>2.090592E7</v>
      </c>
    </row>
    <row r="223" spans="1:8" ht="24.9" customHeight="1">
      <c r="A223" s="57"/>
      <c r="B223" s="59"/>
      <c r="C223" s="39"/>
      <c r="D223" s="24" t="s">
        <v>18</v>
      </c>
      <c r="E223" s="25" t="n">
        <v>36.0</v>
      </c>
      <c r="F223" s="26" t="n">
        <f>36</f>
        <v>36.0</v>
      </c>
      <c r="G223" s="25" t="n">
        <v>2.090592E7</v>
      </c>
      <c r="H223" s="26" t="n">
        <f>20905920</f>
        <v>2.090592E7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46311.0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46311.0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7400</f>
        <v>7400.0</v>
      </c>
      <c r="E12" s="35" t="n">
        <f>3269</f>
        <v>3269.0</v>
      </c>
      <c r="F12" s="17" t="n">
        <f>4488</f>
        <v>4488.0</v>
      </c>
      <c r="G12" s="35" t="n">
        <f>2391</f>
        <v>2391.0</v>
      </c>
      <c r="H12" s="17" t="n">
        <f>11888</f>
        <v>11888.0</v>
      </c>
      <c r="I12" s="35" t="n">
        <f>5660</f>
        <v>5660.0</v>
      </c>
      <c r="J12" s="17" t="n">
        <f>6441821660</f>
        <v>6.44182166E9</v>
      </c>
      <c r="K12" s="35" t="n">
        <f>4826797660</f>
        <v>4.82679766E9</v>
      </c>
      <c r="L12" s="17" t="n">
        <f>3836157070</f>
        <v>3.83615707E9</v>
      </c>
      <c r="M12" s="35" t="n">
        <f>2633091070</f>
        <v>2.63309107E9</v>
      </c>
      <c r="N12" s="17" t="n">
        <f>10277978730</f>
        <v>1.027797873E10</v>
      </c>
      <c r="O12" s="35" t="n">
        <f>7459888730</f>
        <v>7.45988873E9</v>
      </c>
    </row>
    <row r="13" spans="1:15" ht="24.9" customHeight="1">
      <c r="A13" s="38"/>
      <c r="B13" s="62"/>
      <c r="C13" s="20" t="s">
        <v>16</v>
      </c>
      <c r="D13" s="21" t="n">
        <f>3790</f>
        <v>3790.0</v>
      </c>
      <c r="E13" s="36" t="n">
        <f>1460</f>
        <v>1460.0</v>
      </c>
      <c r="F13" s="21" t="n">
        <f>3533</f>
        <v>3533.0</v>
      </c>
      <c r="G13" s="36" t="n">
        <f>1698</f>
        <v>1698.0</v>
      </c>
      <c r="H13" s="21" t="n">
        <f>7323</f>
        <v>7323.0</v>
      </c>
      <c r="I13" s="36" t="n">
        <f>3158</f>
        <v>3158.0</v>
      </c>
      <c r="J13" s="21" t="n">
        <f>2098582170</f>
        <v>2.09858217E9</v>
      </c>
      <c r="K13" s="36" t="n">
        <f>1333905170</f>
        <v>1.33390517E9</v>
      </c>
      <c r="L13" s="21" t="n">
        <f>2493391820</f>
        <v>2.49339182E9</v>
      </c>
      <c r="M13" s="36" t="n">
        <f>1778217820</f>
        <v>1.77821782E9</v>
      </c>
      <c r="N13" s="21" t="n">
        <f>4591973990</f>
        <v>4.59197399E9</v>
      </c>
      <c r="O13" s="36" t="n">
        <f>3112122990</f>
        <v>3.11212299E9</v>
      </c>
    </row>
    <row r="14" spans="1:15" ht="24.9" customHeight="1">
      <c r="A14" s="38"/>
      <c r="B14" s="62"/>
      <c r="C14" s="20" t="s">
        <v>17</v>
      </c>
      <c r="D14" s="21" t="n">
        <f>10209</f>
        <v>10209.0</v>
      </c>
      <c r="E14" s="36" t="n">
        <f>6767</f>
        <v>6767.0</v>
      </c>
      <c r="F14" s="21" t="n">
        <f>5002</f>
        <v>5002.0</v>
      </c>
      <c r="G14" s="36" t="n">
        <f>3374</f>
        <v>3374.0</v>
      </c>
      <c r="H14" s="21" t="n">
        <f>15211</f>
        <v>15211.0</v>
      </c>
      <c r="I14" s="36" t="n">
        <f>10141</f>
        <v>10141.0</v>
      </c>
      <c r="J14" s="21" t="n">
        <f>8343278540</f>
        <v>8.34327854E9</v>
      </c>
      <c r="K14" s="36" t="n">
        <f>6935226540</f>
        <v>6.93522654E9</v>
      </c>
      <c r="L14" s="21" t="n">
        <f>4865551050</f>
        <v>4.86555105E9</v>
      </c>
      <c r="M14" s="36" t="n">
        <f>4008248050</f>
        <v>4.00824805E9</v>
      </c>
      <c r="N14" s="21" t="n">
        <f>13208829590</f>
        <v>1.320882959E10</v>
      </c>
      <c r="O14" s="36" t="n">
        <f>10943474590</f>
        <v>1.094347459E10</v>
      </c>
    </row>
    <row r="15" spans="1:15" ht="24.9" customHeight="1">
      <c r="A15" s="38"/>
      <c r="B15" s="62"/>
      <c r="C15" s="24" t="s">
        <v>18</v>
      </c>
      <c r="D15" s="25" t="n">
        <f>21399</f>
        <v>21399.0</v>
      </c>
      <c r="E15" s="37" t="n">
        <f>11496</f>
        <v>11496.0</v>
      </c>
      <c r="F15" s="25" t="n">
        <f>13023</f>
        <v>13023.0</v>
      </c>
      <c r="G15" s="37" t="n">
        <f>7463</f>
        <v>7463.0</v>
      </c>
      <c r="H15" s="25" t="n">
        <f>34422</f>
        <v>34422.0</v>
      </c>
      <c r="I15" s="37" t="n">
        <f>18959</f>
        <v>18959.0</v>
      </c>
      <c r="J15" s="25" t="n">
        <f>16883682370</f>
        <v>1.688368237E10</v>
      </c>
      <c r="K15" s="37" t="n">
        <f>13095929370</f>
        <v>1.309592937E10</v>
      </c>
      <c r="L15" s="25" t="n">
        <f>11195099940</f>
        <v>1.119509994E10</v>
      </c>
      <c r="M15" s="37" t="n">
        <f>8419556940</f>
        <v>8.41955694E9</v>
      </c>
      <c r="N15" s="25" t="n">
        <f>28078782310</f>
        <v>2.807878231E10</v>
      </c>
      <c r="O15" s="37" t="n">
        <f>21515486310</f>
        <v>2.151548631E10</v>
      </c>
    </row>
    <row r="16" spans="1:15" ht="24.9" customHeight="1">
      <c r="A16" s="38"/>
      <c r="B16" s="61" t="s">
        <v>105</v>
      </c>
      <c r="C16" s="16" t="s">
        <v>15</v>
      </c>
      <c r="D16" s="17" t="n">
        <f>9877</f>
        <v>9877.0</v>
      </c>
      <c r="E16" s="35" t="n">
        <f>230</f>
        <v>230.0</v>
      </c>
      <c r="F16" s="17" t="n">
        <f>13753</f>
        <v>13753.0</v>
      </c>
      <c r="G16" s="35" t="n">
        <f>1140</f>
        <v>1140.0</v>
      </c>
      <c r="H16" s="17" t="n">
        <f>23630</f>
        <v>23630.0</v>
      </c>
      <c r="I16" s="35" t="n">
        <f>1370</f>
        <v>1370.0</v>
      </c>
      <c r="J16" s="17" t="n">
        <f>1654889780</f>
        <v>1.65488978E9</v>
      </c>
      <c r="K16" s="35" t="n">
        <f>19345680</f>
        <v>1.934568E7</v>
      </c>
      <c r="L16" s="17" t="n">
        <f>1526323030</f>
        <v>1.52632303E9</v>
      </c>
      <c r="M16" s="35" t="n">
        <f>20292630</f>
        <v>2.029263E7</v>
      </c>
      <c r="N16" s="17" t="n">
        <f>3181212810</f>
        <v>3.18121281E9</v>
      </c>
      <c r="O16" s="35" t="n">
        <f>39638310</f>
        <v>3.963831E7</v>
      </c>
    </row>
    <row r="17" spans="1:15" ht="24.9" customHeight="1">
      <c r="A17" s="38"/>
      <c r="B17" s="62"/>
      <c r="C17" s="20" t="s">
        <v>16</v>
      </c>
      <c r="D17" s="21" t="n">
        <f>5702</f>
        <v>5702.0</v>
      </c>
      <c r="E17" s="36" t="n">
        <f>180</f>
        <v>180.0</v>
      </c>
      <c r="F17" s="21" t="n">
        <f>5149</f>
        <v>5149.0</v>
      </c>
      <c r="G17" s="36" t="n">
        <f>210</f>
        <v>210.0</v>
      </c>
      <c r="H17" s="21" t="n">
        <f>10851</f>
        <v>10851.0</v>
      </c>
      <c r="I17" s="36" t="n">
        <f>390</f>
        <v>390.0</v>
      </c>
      <c r="J17" s="21" t="n">
        <f>575411690</f>
        <v>5.7541169E8</v>
      </c>
      <c r="K17" s="36" t="n">
        <f>6451490</f>
        <v>6451490.0</v>
      </c>
      <c r="L17" s="21" t="n">
        <f>201127580</f>
        <v>2.0112758E8</v>
      </c>
      <c r="M17" s="36" t="n">
        <f>4276680</f>
        <v>4276680.0</v>
      </c>
      <c r="N17" s="21" t="n">
        <f>776539270</f>
        <v>7.7653927E8</v>
      </c>
      <c r="O17" s="36" t="n">
        <f>10728170</f>
        <v>1.072817E7</v>
      </c>
    </row>
    <row r="18" spans="1:15" ht="24.9" customHeight="1">
      <c r="A18" s="38"/>
      <c r="B18" s="62"/>
      <c r="C18" s="20" t="s">
        <v>17</v>
      </c>
      <c r="D18" s="21" t="n">
        <f>12438</f>
        <v>12438.0</v>
      </c>
      <c r="E18" s="36" t="n">
        <f>7470</f>
        <v>7470.0</v>
      </c>
      <c r="F18" s="21" t="n">
        <f>7890</f>
        <v>7890.0</v>
      </c>
      <c r="G18" s="36" t="n">
        <f>200</f>
        <v>200.0</v>
      </c>
      <c r="H18" s="21" t="n">
        <f>20328</f>
        <v>20328.0</v>
      </c>
      <c r="I18" s="36" t="n">
        <f>7670</f>
        <v>7670.0</v>
      </c>
      <c r="J18" s="21" t="n">
        <f>615853460</f>
        <v>6.1585346E8</v>
      </c>
      <c r="K18" s="36" t="n">
        <f>252844460</f>
        <v>2.5284446E8</v>
      </c>
      <c r="L18" s="21" t="n">
        <f>371631460</f>
        <v>3.7163146E8</v>
      </c>
      <c r="M18" s="36" t="n">
        <f>5524160</f>
        <v>5524160.0</v>
      </c>
      <c r="N18" s="21" t="n">
        <f>987484920</f>
        <v>9.8748492E8</v>
      </c>
      <c r="O18" s="36" t="n">
        <f>258368620</f>
        <v>2.5836862E8</v>
      </c>
    </row>
    <row r="19" spans="1:15" ht="24.9" customHeight="1">
      <c r="A19" s="38"/>
      <c r="B19" s="62"/>
      <c r="C19" s="24" t="s">
        <v>18</v>
      </c>
      <c r="D19" s="25" t="n">
        <f>28017</f>
        <v>28017.0</v>
      </c>
      <c r="E19" s="37" t="n">
        <f>7880</f>
        <v>7880.0</v>
      </c>
      <c r="F19" s="25" t="n">
        <f>26792</f>
        <v>26792.0</v>
      </c>
      <c r="G19" s="37" t="n">
        <f>1550</f>
        <v>1550.0</v>
      </c>
      <c r="H19" s="25" t="n">
        <f>54809</f>
        <v>54809.0</v>
      </c>
      <c r="I19" s="37" t="n">
        <f>9430</f>
        <v>9430.0</v>
      </c>
      <c r="J19" s="25" t="n">
        <f>2846154930</f>
        <v>2.84615493E9</v>
      </c>
      <c r="K19" s="37" t="n">
        <f>278641630</f>
        <v>2.7864163E8</v>
      </c>
      <c r="L19" s="25" t="n">
        <f>2099082070</f>
        <v>2.09908207E9</v>
      </c>
      <c r="M19" s="37" t="n">
        <f>30093470</f>
        <v>3.009347E7</v>
      </c>
      <c r="N19" s="25" t="n">
        <f>4945237000</f>
        <v>4.945237E9</v>
      </c>
      <c r="O19" s="37" t="n">
        <f>308735100</f>
        <v>3.087351E8</v>
      </c>
    </row>
    <row r="20" spans="1:15" ht="24.9" customHeight="1">
      <c r="A20" s="38"/>
      <c r="B20" s="61" t="s">
        <v>106</v>
      </c>
      <c r="C20" s="16" t="s">
        <v>15</v>
      </c>
      <c r="D20" s="17" t="n">
        <f>300</f>
        <v>300.0</v>
      </c>
      <c r="E20" s="35" t="n">
        <f>300</f>
        <v>300.0</v>
      </c>
      <c r="F20" s="17" t="n">
        <f>0</f>
        <v>0.0</v>
      </c>
      <c r="G20" s="35" t="n">
        <f>0</f>
        <v>0.0</v>
      </c>
      <c r="H20" s="17" t="n">
        <f>300</f>
        <v>300.0</v>
      </c>
      <c r="I20" s="35" t="n">
        <f>300</f>
        <v>300.0</v>
      </c>
      <c r="J20" s="17" t="n">
        <f>657000000</f>
        <v>6.57E8</v>
      </c>
      <c r="K20" s="35" t="n">
        <f>657000000</f>
        <v>6.57E8</v>
      </c>
      <c r="L20" s="17" t="n">
        <f>0</f>
        <v>0.0</v>
      </c>
      <c r="M20" s="35" t="n">
        <f>0</f>
        <v>0.0</v>
      </c>
      <c r="N20" s="17" t="n">
        <f>657000000</f>
        <v>6.57E8</v>
      </c>
      <c r="O20" s="35" t="n">
        <f>657000000</f>
        <v>6.57E8</v>
      </c>
    </row>
    <row r="21" spans="1:15" ht="24.9" customHeight="1">
      <c r="A21" s="38"/>
      <c r="B21" s="62"/>
      <c r="C21" s="20" t="s">
        <v>16</v>
      </c>
      <c r="D21" s="21" t="n">
        <f>142</f>
        <v>142.0</v>
      </c>
      <c r="E21" s="36" t="n">
        <f>142</f>
        <v>142.0</v>
      </c>
      <c r="F21" s="21" t="n">
        <f>142</f>
        <v>142.0</v>
      </c>
      <c r="G21" s="36" t="n">
        <f>142</f>
        <v>142.0</v>
      </c>
      <c r="H21" s="21" t="n">
        <f>284</f>
        <v>284.0</v>
      </c>
      <c r="I21" s="36" t="n">
        <f>284</f>
        <v>284.0</v>
      </c>
      <c r="J21" s="21" t="n">
        <f>100890000</f>
        <v>1.0089E8</v>
      </c>
      <c r="K21" s="36" t="n">
        <f>100890000</f>
        <v>1.0089E8</v>
      </c>
      <c r="L21" s="21" t="n">
        <f>51445000</f>
        <v>5.1445E7</v>
      </c>
      <c r="M21" s="36" t="n">
        <f>51445000</f>
        <v>5.1445E7</v>
      </c>
      <c r="N21" s="21" t="n">
        <f>152335000</f>
        <v>1.52335E8</v>
      </c>
      <c r="O21" s="36" t="n">
        <f>152335000</f>
        <v>1.52335E8</v>
      </c>
    </row>
    <row r="22" spans="1:15" ht="24.9" customHeight="1">
      <c r="A22" s="38"/>
      <c r="B22" s="62"/>
      <c r="C22" s="20" t="s">
        <v>17</v>
      </c>
      <c r="D22" s="21" t="n">
        <f>1040</f>
        <v>1040.0</v>
      </c>
      <c r="E22" s="36" t="n">
        <f>1040</f>
        <v>1040.0</v>
      </c>
      <c r="F22" s="21" t="n">
        <f>800</f>
        <v>800.0</v>
      </c>
      <c r="G22" s="36" t="n">
        <f>800</f>
        <v>800.0</v>
      </c>
      <c r="H22" s="21" t="n">
        <f>1840</f>
        <v>1840.0</v>
      </c>
      <c r="I22" s="36" t="n">
        <f>1840</f>
        <v>1840.0</v>
      </c>
      <c r="J22" s="21" t="n">
        <f>211500000</f>
        <v>2.115E8</v>
      </c>
      <c r="K22" s="36" t="n">
        <f>211500000</f>
        <v>2.115E8</v>
      </c>
      <c r="L22" s="21" t="n">
        <f>314250000</f>
        <v>3.1425E8</v>
      </c>
      <c r="M22" s="36" t="n">
        <f>314250000</f>
        <v>3.1425E8</v>
      </c>
      <c r="N22" s="21" t="n">
        <f>525750000</f>
        <v>5.2575E8</v>
      </c>
      <c r="O22" s="36" t="n">
        <f>525750000</f>
        <v>5.2575E8</v>
      </c>
    </row>
    <row r="23" spans="1:15" ht="24.9" customHeight="1">
      <c r="A23" s="38"/>
      <c r="B23" s="62"/>
      <c r="C23" s="24" t="s">
        <v>18</v>
      </c>
      <c r="D23" s="25" t="n">
        <f>1482</f>
        <v>1482.0</v>
      </c>
      <c r="E23" s="37" t="n">
        <f>1482</f>
        <v>1482.0</v>
      </c>
      <c r="F23" s="25" t="n">
        <f>942</f>
        <v>942.0</v>
      </c>
      <c r="G23" s="37" t="n">
        <f>942</f>
        <v>942.0</v>
      </c>
      <c r="H23" s="25" t="n">
        <f>2424</f>
        <v>2424.0</v>
      </c>
      <c r="I23" s="37" t="n">
        <f>2424</f>
        <v>2424.0</v>
      </c>
      <c r="J23" s="25" t="n">
        <f>969390000</f>
        <v>9.6939E8</v>
      </c>
      <c r="K23" s="37" t="n">
        <f>969390000</f>
        <v>9.6939E8</v>
      </c>
      <c r="L23" s="25" t="n">
        <f>365695000</f>
        <v>3.65695E8</v>
      </c>
      <c r="M23" s="37" t="n">
        <f>365695000</f>
        <v>3.65695E8</v>
      </c>
      <c r="N23" s="25" t="n">
        <f>1335085000</f>
        <v>1.335085E9</v>
      </c>
      <c r="O23" s="37" t="n">
        <f>1335085000</f>
        <v>1.335085E9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2</f>
        <v>2.0</v>
      </c>
      <c r="E36" s="18" t="n">
        <f>0</f>
        <v>0.0</v>
      </c>
      <c r="F36" s="17" t="n">
        <f>0</f>
        <v>0.0</v>
      </c>
      <c r="G36" s="18" t="n">
        <f>0</f>
        <v>0.0</v>
      </c>
      <c r="H36" s="17" t="n">
        <f>2</f>
        <v>2.0</v>
      </c>
      <c r="I36" s="18" t="n">
        <f>0</f>
        <v>0.0</v>
      </c>
      <c r="J36" s="17" t="n">
        <f>40000</f>
        <v>40000.0</v>
      </c>
      <c r="K36" s="18" t="n">
        <f>0</f>
        <v>0.0</v>
      </c>
      <c r="L36" s="17" t="n">
        <f>0</f>
        <v>0.0</v>
      </c>
      <c r="M36" s="18" t="n">
        <f>0</f>
        <v>0.0</v>
      </c>
      <c r="N36" s="17" t="n">
        <f>40000</f>
        <v>40000.0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25</f>
        <v>25.0</v>
      </c>
      <c r="E37" s="22" t="n">
        <f>0</f>
        <v>0.0</v>
      </c>
      <c r="F37" s="21" t="n">
        <f>21</f>
        <v>21.0</v>
      </c>
      <c r="G37" s="22" t="n">
        <f>0</f>
        <v>0.0</v>
      </c>
      <c r="H37" s="21" t="n">
        <f>46</f>
        <v>46.0</v>
      </c>
      <c r="I37" s="22" t="n">
        <f>0</f>
        <v>0.0</v>
      </c>
      <c r="J37" s="21" t="n">
        <f>6250000</f>
        <v>6250000.0</v>
      </c>
      <c r="K37" s="22" t="n">
        <f>0</f>
        <v>0.0</v>
      </c>
      <c r="L37" s="21" t="n">
        <f>4400000</f>
        <v>4400000.0</v>
      </c>
      <c r="M37" s="22" t="n">
        <f>0</f>
        <v>0.0</v>
      </c>
      <c r="N37" s="21" t="n">
        <f>10650000</f>
        <v>1.065E7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71</f>
        <v>71.0</v>
      </c>
      <c r="E38" s="36" t="n">
        <f>0</f>
        <v>0.0</v>
      </c>
      <c r="F38" s="21" t="n">
        <f>20</f>
        <v>20.0</v>
      </c>
      <c r="G38" s="36" t="n">
        <f>0</f>
        <v>0.0</v>
      </c>
      <c r="H38" s="21" t="n">
        <f>91</f>
        <v>91.0</v>
      </c>
      <c r="I38" s="36" t="n">
        <f>0</f>
        <v>0.0</v>
      </c>
      <c r="J38" s="21" t="n">
        <f>2720000</f>
        <v>2720000.0</v>
      </c>
      <c r="K38" s="36" t="n">
        <f>0</f>
        <v>0.0</v>
      </c>
      <c r="L38" s="21" t="n">
        <f>2900000</f>
        <v>2900000.0</v>
      </c>
      <c r="M38" s="36" t="n">
        <f>0</f>
        <v>0.0</v>
      </c>
      <c r="N38" s="21" t="n">
        <f>5620000</f>
        <v>5620000.0</v>
      </c>
      <c r="O38" s="36" t="n">
        <f>0</f>
        <v>0.0</v>
      </c>
    </row>
    <row r="39" spans="1:15" ht="24.9" customHeight="1">
      <c r="A39" s="38"/>
      <c r="B39" s="62"/>
      <c r="C39" s="24" t="s">
        <v>18</v>
      </c>
      <c r="D39" s="25" t="n">
        <f>98</f>
        <v>98.0</v>
      </c>
      <c r="E39" s="37" t="n">
        <f>0</f>
        <v>0.0</v>
      </c>
      <c r="F39" s="25" t="n">
        <f>41</f>
        <v>41.0</v>
      </c>
      <c r="G39" s="37" t="n">
        <f>0</f>
        <v>0.0</v>
      </c>
      <c r="H39" s="25" t="n">
        <f>139</f>
        <v>139.0</v>
      </c>
      <c r="I39" s="37" t="n">
        <f>0</f>
        <v>0.0</v>
      </c>
      <c r="J39" s="25" t="n">
        <f>9010000</f>
        <v>9010000.0</v>
      </c>
      <c r="K39" s="37" t="n">
        <f>0</f>
        <v>0.0</v>
      </c>
      <c r="L39" s="25" t="n">
        <f>7300000</f>
        <v>7300000.0</v>
      </c>
      <c r="M39" s="37" t="n">
        <f>0</f>
        <v>0.0</v>
      </c>
      <c r="N39" s="25" t="n">
        <f>16310000</f>
        <v>1.631E7</v>
      </c>
      <c r="O39" s="37" t="n">
        <f>0</f>
        <v>0.0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568</f>
        <v>568.0</v>
      </c>
      <c r="E41" s="36" t="n">
        <f>0</f>
        <v>0.0</v>
      </c>
      <c r="F41" s="21" t="n">
        <f>921</f>
        <v>921.0</v>
      </c>
      <c r="G41" s="36" t="n">
        <f>0</f>
        <v>0.0</v>
      </c>
      <c r="H41" s="21" t="n">
        <f>1489</f>
        <v>1489.0</v>
      </c>
      <c r="I41" s="36" t="n">
        <f>0</f>
        <v>0.0</v>
      </c>
      <c r="J41" s="21" t="n">
        <f>3148770</f>
        <v>3148770.0</v>
      </c>
      <c r="K41" s="36" t="n">
        <f>0</f>
        <v>0.0</v>
      </c>
      <c r="L41" s="21" t="n">
        <f>6294490</f>
        <v>6294490.0</v>
      </c>
      <c r="M41" s="36" t="n">
        <f>0</f>
        <v>0.0</v>
      </c>
      <c r="N41" s="21" t="n">
        <f>9443260</f>
        <v>9443260.0</v>
      </c>
      <c r="O41" s="36" t="n">
        <f>0</f>
        <v>0.0</v>
      </c>
    </row>
    <row r="42" spans="1:15" ht="24.9" customHeight="1">
      <c r="A42" s="38"/>
      <c r="B42" s="62"/>
      <c r="C42" s="20" t="s">
        <v>17</v>
      </c>
      <c r="D42" s="21" t="n">
        <f>5890</f>
        <v>5890.0</v>
      </c>
      <c r="E42" s="36" t="n">
        <f>0</f>
        <v>0.0</v>
      </c>
      <c r="F42" s="21" t="n">
        <f>2738</f>
        <v>2738.0</v>
      </c>
      <c r="G42" s="36" t="n">
        <f>2000</f>
        <v>2000.0</v>
      </c>
      <c r="H42" s="21" t="n">
        <f>8628</f>
        <v>8628.0</v>
      </c>
      <c r="I42" s="36" t="n">
        <f>2000</f>
        <v>2000.0</v>
      </c>
      <c r="J42" s="21" t="n">
        <f>11316770</f>
        <v>1.131677E7</v>
      </c>
      <c r="K42" s="36" t="n">
        <f>0</f>
        <v>0.0</v>
      </c>
      <c r="L42" s="21" t="n">
        <f>17106570</f>
        <v>1.710657E7</v>
      </c>
      <c r="M42" s="36" t="n">
        <f>8000000</f>
        <v>8000000.0</v>
      </c>
      <c r="N42" s="21" t="n">
        <f>28423340</f>
        <v>2.842334E7</v>
      </c>
      <c r="O42" s="36" t="n">
        <f>8000000</f>
        <v>8000000.0</v>
      </c>
    </row>
    <row r="43" spans="1:15" ht="24.9" customHeight="1">
      <c r="A43" s="38"/>
      <c r="B43" s="62"/>
      <c r="C43" s="24" t="s">
        <v>18</v>
      </c>
      <c r="D43" s="25" t="n">
        <f>6458</f>
        <v>6458.0</v>
      </c>
      <c r="E43" s="37" t="n">
        <f>0</f>
        <v>0.0</v>
      </c>
      <c r="F43" s="25" t="n">
        <f>3659</f>
        <v>3659.0</v>
      </c>
      <c r="G43" s="37" t="n">
        <f>2000</f>
        <v>2000.0</v>
      </c>
      <c r="H43" s="25" t="n">
        <f>10117</f>
        <v>10117.0</v>
      </c>
      <c r="I43" s="37" t="n">
        <f>2000</f>
        <v>2000.0</v>
      </c>
      <c r="J43" s="25" t="n">
        <f>14465540</f>
        <v>1.446554E7</v>
      </c>
      <c r="K43" s="37" t="n">
        <f>0</f>
        <v>0.0</v>
      </c>
      <c r="L43" s="25" t="n">
        <f>23401060</f>
        <v>2.340106E7</v>
      </c>
      <c r="M43" s="37" t="n">
        <f>8000000</f>
        <v>8000000.0</v>
      </c>
      <c r="N43" s="25" t="n">
        <f>37866600</f>
        <v>3.78666E7</v>
      </c>
      <c r="O43" s="37" t="n">
        <f>8000000</f>
        <v>8000000.0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