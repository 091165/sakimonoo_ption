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<sst xmlns="http://schemas.openxmlformats.org/spreadsheetml/2006/main" count="528" uniqueCount="129">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</sst>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DATE(2026,10,21)</f>
        <v>46316.0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DATE(2026,10,21)</f>
        <v>46316.0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1129990.0</f>
        <v>1129990.0</v>
      </c>
      <c r="E12" s="18" t="n">
        <f>47941.0</f>
        <v>47941.0</v>
      </c>
      <c r="F12" s="19" t="n">
        <f>1.0</f>
        <v>1.0</v>
      </c>
      <c r="G12" s="17" t="n">
        <f>6778609656715.0</f>
        <v>6.778609656715E12</v>
      </c>
      <c r="H12" s="18" t="n">
        <f>406615310940.0</f>
        <v>4.0661531094E11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527463.0</f>
        <v>527463.0</v>
      </c>
      <c r="E13" s="22" t="n">
        <f>21425.0</f>
        <v>21425.0</v>
      </c>
      <c r="F13" s="23" t="n">
        <f>1.0</f>
        <v>1.0</v>
      </c>
      <c r="G13" s="21" t="n">
        <f>4761006746085.0</f>
        <v>4.761006746085E12</v>
      </c>
      <c r="H13" s="22" t="n">
        <f>326212954260.0</f>
        <v>3.2621295426E11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443749.0</f>
        <v>443749.0</v>
      </c>
      <c r="E14" s="22" t="n">
        <f>31179.0</f>
        <v>31179.0</v>
      </c>
      <c r="F14" s="23" t="n">
        <f>1.0</f>
        <v>1.0</v>
      </c>
      <c r="G14" s="21" t="n">
        <f>5298753723521.0</f>
        <v>5.298753723521E12</v>
      </c>
      <c r="H14" s="22" t="n">
        <f>834952327621.0</f>
        <v>8.34952327621E11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2101202.0</f>
        <v>2101202.0</v>
      </c>
      <c r="E15" s="26" t="n">
        <f>100545.0</f>
        <v>100545.0</v>
      </c>
      <c r="F15" s="27" t="n">
        <f>1.0</f>
        <v>1.0</v>
      </c>
      <c r="G15" s="25" t="n">
        <f>16838370126321.0</f>
        <v>1.6838370126321E13</v>
      </c>
      <c r="H15" s="26" t="n">
        <f>1567780592821.0</f>
        <v>1.567780592821E12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13558.0</f>
        <v>13558.0</v>
      </c>
      <c r="E16" s="18" t="n">
        <f>202.0</f>
        <v>202.0</v>
      </c>
      <c r="F16" s="19" t="n">
        <f>0.012</f>
        <v>0.012</v>
      </c>
      <c r="G16" s="17" t="n">
        <f>1639111541875.0</f>
        <v>1.639111541875E12</v>
      </c>
      <c r="H16" s="18" t="n">
        <f>25411050000.0</f>
        <v>2.541105E10</v>
      </c>
      <c r="I16" s="19" t="n">
        <f>0.242</f>
        <v>0.242</v>
      </c>
    </row>
    <row r="17" spans="1:9" ht="24.9" customHeight="1">
      <c r="A17" s="41"/>
      <c r="B17" s="39"/>
      <c r="C17" s="20" t="s">
        <v>16</v>
      </c>
      <c r="D17" s="21" t="n">
        <f>12632.0</f>
        <v>12632.0</v>
      </c>
      <c r="E17" s="22" t="n">
        <f>968.0</f>
        <v>968.0</v>
      </c>
      <c r="F17" s="23" t="n">
        <f>0.024</f>
        <v>0.024</v>
      </c>
      <c r="G17" s="21" t="n">
        <f>1389379759375.0</f>
        <v>1.389379759375E12</v>
      </c>
      <c r="H17" s="22" t="n">
        <f>121761340000.0</f>
        <v>1.2176134E11</v>
      </c>
      <c r="I17" s="23" t="n">
        <f>0.292</f>
        <v>0.292</v>
      </c>
    </row>
    <row r="18" spans="1:9" ht="24.9" customHeight="1">
      <c r="A18" s="41"/>
      <c r="B18" s="39"/>
      <c r="C18" s="20" t="s">
        <v>17</v>
      </c>
      <c r="D18" s="21" t="n">
        <f>14224.0</f>
        <v>14224.0</v>
      </c>
      <c r="E18" s="22" t="n">
        <f>704.0</f>
        <v>704.0</v>
      </c>
      <c r="F18" s="23" t="n">
        <f>0.032</f>
        <v>0.032</v>
      </c>
      <c r="G18" s="21" t="n">
        <f>1633298618500.0</f>
        <v>1.6332986185E12</v>
      </c>
      <c r="H18" s="22" t="n">
        <f>88558345000.0</f>
        <v>8.8558345E10</v>
      </c>
      <c r="I18" s="23" t="n">
        <f>0.308</f>
        <v>0.308</v>
      </c>
    </row>
    <row r="19" spans="1:9" ht="24.9" customHeight="1">
      <c r="A19" s="41"/>
      <c r="B19" s="39"/>
      <c r="C19" s="24" t="s">
        <v>18</v>
      </c>
      <c r="D19" s="25" t="n">
        <f>40414.0</f>
        <v>40414.0</v>
      </c>
      <c r="E19" s="26" t="n">
        <f>1874.0</f>
        <v>1874.0</v>
      </c>
      <c r="F19" s="27" t="n">
        <f>0.019</f>
        <v>0.019</v>
      </c>
      <c r="G19" s="25" t="n">
        <f>4661789919750.0</f>
        <v>4.66178991975E12</v>
      </c>
      <c r="H19" s="26" t="n">
        <f>235730735000.0</f>
        <v>2.35730735E11</v>
      </c>
      <c r="I19" s="27" t="n">
        <f>0.277</f>
        <v>0.277</v>
      </c>
    </row>
    <row r="20" spans="1:9" ht="24.9" customHeight="1">
      <c r="A20" s="41"/>
      <c r="B20" s="39" t="s">
        <v>21</v>
      </c>
      <c r="C20" s="16" t="s">
        <v>15</v>
      </c>
      <c r="D20" s="17" t="n">
        <f>1104247.0</f>
        <v>1104247.0</v>
      </c>
      <c r="E20" s="18" t="n">
        <f>47699.0</f>
        <v>47699.0</v>
      </c>
      <c r="F20" s="19" t="n">
        <f>0.977</f>
        <v>0.977</v>
      </c>
      <c r="G20" s="17" t="n">
        <f>5014445983190.0</f>
        <v>5.01444598319E12</v>
      </c>
      <c r="H20" s="18" t="n">
        <f>380815547340.0</f>
        <v>3.8081554734E11</v>
      </c>
      <c r="I20" s="19" t="n">
        <f>0.74</f>
        <v>0.74</v>
      </c>
    </row>
    <row r="21" spans="1:9" ht="24.9" customHeight="1">
      <c r="A21" s="41"/>
      <c r="B21" s="39"/>
      <c r="C21" s="20" t="s">
        <v>16</v>
      </c>
      <c r="D21" s="21" t="n">
        <f>506360.0</f>
        <v>506360.0</v>
      </c>
      <c r="E21" s="22" t="n">
        <f>20457.0</f>
        <v>20457.0</v>
      </c>
      <c r="F21" s="23" t="n">
        <f>0.96</f>
        <v>0.96</v>
      </c>
      <c r="G21" s="21" t="n">
        <f>3296170248360.0</f>
        <v>3.29617024836E12</v>
      </c>
      <c r="H21" s="22" t="n">
        <f>204451614260.0</f>
        <v>2.0445161426E11</v>
      </c>
      <c r="I21" s="23" t="n">
        <f>0.692</f>
        <v>0.692</v>
      </c>
    </row>
    <row r="22" spans="1:9" ht="24.9" customHeight="1">
      <c r="A22" s="41"/>
      <c r="B22" s="39"/>
      <c r="C22" s="20" t="s">
        <v>17</v>
      </c>
      <c r="D22" s="21" t="n">
        <f>417847.0</f>
        <v>417847.0</v>
      </c>
      <c r="E22" s="22" t="n">
        <f>30326.0</f>
        <v>30326.0</v>
      </c>
      <c r="F22" s="23" t="n">
        <f>0.942</f>
        <v>0.942</v>
      </c>
      <c r="G22" s="21" t="n">
        <f>3586139825221.0</f>
        <v>3.586139825221E12</v>
      </c>
      <c r="H22" s="22" t="n">
        <f>746192757021.0</f>
        <v>7.46192757021E11</v>
      </c>
      <c r="I22" s="23" t="n">
        <f>0.677</f>
        <v>0.677</v>
      </c>
    </row>
    <row r="23" spans="1:9" ht="24.9" customHeight="1">
      <c r="A23" s="41"/>
      <c r="B23" s="39"/>
      <c r="C23" s="24" t="s">
        <v>18</v>
      </c>
      <c r="D23" s="25" t="n">
        <f>2028454.0</f>
        <v>2028454.0</v>
      </c>
      <c r="E23" s="26" t="n">
        <f>98482.0</f>
        <v>98482.0</v>
      </c>
      <c r="F23" s="27" t="n">
        <f>0.965</f>
        <v>0.965</v>
      </c>
      <c r="G23" s="25" t="n">
        <f>11896756056771.0</f>
        <v>1.1896756056771E13</v>
      </c>
      <c r="H23" s="26" t="n">
        <f>1331459918621.0</f>
        <v>1.331459918621E12</v>
      </c>
      <c r="I23" s="27" t="n">
        <f>0.707</f>
        <v>0.707</v>
      </c>
    </row>
    <row r="24" spans="1:9" ht="24.9" customHeight="1">
      <c r="A24" s="41"/>
      <c r="B24" s="39" t="s">
        <v>22</v>
      </c>
      <c r="C24" s="16" t="s">
        <v>15</v>
      </c>
      <c r="D24" s="17" t="n">
        <f>11471.0</f>
        <v>11471.0</v>
      </c>
      <c r="E24" s="18" t="n">
        <f>0.0</f>
        <v>0.0</v>
      </c>
      <c r="F24" s="19" t="n">
        <f>0.01</f>
        <v>0.01</v>
      </c>
      <c r="G24" s="17" t="n">
        <f>121349292550.0</f>
        <v>1.2134929255E11</v>
      </c>
      <c r="H24" s="18" t="n">
        <f>0.0</f>
        <v>0.0</v>
      </c>
      <c r="I24" s="19" t="n">
        <f>0.018</f>
        <v>0.018</v>
      </c>
    </row>
    <row r="25" spans="1:9" ht="24.9" customHeight="1">
      <c r="A25" s="41"/>
      <c r="B25" s="39"/>
      <c r="C25" s="20" t="s">
        <v>16</v>
      </c>
      <c r="D25" s="21" t="n">
        <f>8391.0</f>
        <v>8391.0</v>
      </c>
      <c r="E25" s="22" t="n">
        <f>0.0</f>
        <v>0.0</v>
      </c>
      <c r="F25" s="23" t="n">
        <f>0.016</f>
        <v>0.016</v>
      </c>
      <c r="G25" s="21" t="n">
        <f>75066547350.0</f>
        <v>7.506654735E10</v>
      </c>
      <c r="H25" s="22" t="n">
        <f>0.0</f>
        <v>0.0</v>
      </c>
      <c r="I25" s="23" t="n">
        <f>0.016</f>
        <v>0.016</v>
      </c>
    </row>
    <row r="26" spans="1:9" ht="24.9" customHeight="1">
      <c r="A26" s="41"/>
      <c r="B26" s="39"/>
      <c r="C26" s="20" t="s">
        <v>17</v>
      </c>
      <c r="D26" s="21" t="n">
        <f>9820.0</f>
        <v>9820.0</v>
      </c>
      <c r="E26" s="22" t="n">
        <f>0.0</f>
        <v>0.0</v>
      </c>
      <c r="F26" s="23" t="n">
        <f>0.022</f>
        <v>0.022</v>
      </c>
      <c r="G26" s="21" t="n">
        <f>70673985200.0</f>
        <v>7.06739852E10</v>
      </c>
      <c r="H26" s="22" t="n">
        <f>0.0</f>
        <v>0.0</v>
      </c>
      <c r="I26" s="23" t="n">
        <f>0.013</f>
        <v>0.013</v>
      </c>
    </row>
    <row r="27" spans="1:9" ht="24.9" customHeight="1">
      <c r="A27" s="42"/>
      <c r="B27" s="39"/>
      <c r="C27" s="24" t="s">
        <v>18</v>
      </c>
      <c r="D27" s="25" t="n">
        <f>29682.0</f>
        <v>29682.0</v>
      </c>
      <c r="E27" s="26" t="n">
        <f>0.0</f>
        <v>0.0</v>
      </c>
      <c r="F27" s="27" t="n">
        <f>0.014</f>
        <v>0.014</v>
      </c>
      <c r="G27" s="25" t="n">
        <f>267089825100.0</f>
        <v>2.670898251E11</v>
      </c>
      <c r="H27" s="26" t="n">
        <f>0.0</f>
        <v>0.0</v>
      </c>
      <c r="I27" s="27" t="n">
        <f>0.016</f>
        <v>0.016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714.0</f>
        <v>714.0</v>
      </c>
      <c r="E28" s="18" t="n">
        <f>40.0</f>
        <v>40.0</v>
      </c>
      <c r="F28" s="19" t="n">
        <f>0.001</f>
        <v>0.001</v>
      </c>
      <c r="G28" s="17" t="n">
        <f>3702839100.0</f>
        <v>3.7028391E9</v>
      </c>
      <c r="H28" s="18" t="n">
        <f>388713600.0</f>
        <v>3.887136E8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80.0</f>
        <v>80.0</v>
      </c>
      <c r="E29" s="22" t="n">
        <f>0.0</f>
        <v>0.0</v>
      </c>
      <c r="F29" s="23" t="n">
        <f>0.0</f>
        <v>0.0</v>
      </c>
      <c r="G29" s="21" t="n">
        <f>390191000.0</f>
        <v>3.90191E8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1858.0</f>
        <v>1858.0</v>
      </c>
      <c r="E30" s="22" t="n">
        <f>149.0</f>
        <v>149.0</v>
      </c>
      <c r="F30" s="23" t="n">
        <f>0.004</f>
        <v>0.004</v>
      </c>
      <c r="G30" s="21" t="n">
        <f>8641294600.0</f>
        <v>8.6412946E9</v>
      </c>
      <c r="H30" s="22" t="n">
        <f>201225600.0</f>
        <v>2.012256E8</v>
      </c>
      <c r="I30" s="23" t="n">
        <f>0.002</f>
        <v>0.002</v>
      </c>
    </row>
    <row r="31" spans="1:9" ht="24.9" customHeight="1">
      <c r="A31" s="38"/>
      <c r="B31" s="39"/>
      <c r="C31" s="24" t="s">
        <v>18</v>
      </c>
      <c r="D31" s="25" t="n">
        <f>2652.0</f>
        <v>2652.0</v>
      </c>
      <c r="E31" s="26" t="n">
        <f>189.0</f>
        <v>189.0</v>
      </c>
      <c r="F31" s="27" t="n">
        <f>0.001</f>
        <v>0.001</v>
      </c>
      <c r="G31" s="25" t="n">
        <f>12734324700.0</f>
        <v>1.27343247E10</v>
      </c>
      <c r="H31" s="26" t="n">
        <f>589939200.0</f>
        <v>5.899392E8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46316.0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46316.0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21390</f>
        <v>21390.0</v>
      </c>
      <c r="E11" s="18" t="n">
        <f>2697</f>
        <v>2697.0</v>
      </c>
      <c r="F11" s="19" t="n">
        <f>1</f>
        <v>1.0</v>
      </c>
      <c r="G11" s="17" t="n">
        <f>3299381250</f>
        <v>3.29938125E9</v>
      </c>
      <c r="H11" s="18" t="n">
        <f>1278289750</f>
        <v>1.27828975E9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31830</f>
        <v>31830.0</v>
      </c>
      <c r="E12" s="22" t="n">
        <f>3428</f>
        <v>3428.0</v>
      </c>
      <c r="F12" s="23" t="n">
        <f>1</f>
        <v>1.0</v>
      </c>
      <c r="G12" s="21" t="n">
        <f>4770204230</f>
        <v>4.77020423E9</v>
      </c>
      <c r="H12" s="22" t="n">
        <f>3102128930</f>
        <v>3.10212893E9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33570</f>
        <v>33570.0</v>
      </c>
      <c r="E13" s="22" t="n">
        <f>11460</f>
        <v>11460.0</v>
      </c>
      <c r="F13" s="23" t="n">
        <f>1</f>
        <v>1.0</v>
      </c>
      <c r="G13" s="21" t="n">
        <f>11659230740</f>
        <v>1.165923074E10</v>
      </c>
      <c r="H13" s="22" t="n">
        <f>9063657780</f>
        <v>9.06365778E9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86790</f>
        <v>86790.0</v>
      </c>
      <c r="E14" s="26" t="n">
        <f>17585</f>
        <v>17585.0</v>
      </c>
      <c r="F14" s="27" t="n">
        <f>1</f>
        <v>1.0</v>
      </c>
      <c r="G14" s="25" t="n">
        <f>19728816220</f>
        <v>1.972881622E10</v>
      </c>
      <c r="H14" s="26" t="n">
        <f>13444076460</f>
        <v>1.344407646E10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0</f>
        <v>0.0</v>
      </c>
      <c r="E16" s="22" t="n">
        <f>0</f>
        <v>0.0</v>
      </c>
      <c r="F16" s="23" t="n">
        <f>0</f>
        <v>0.0</v>
      </c>
      <c r="G16" s="21" t="n">
        <f>0</f>
        <v>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375</f>
        <v>375.0</v>
      </c>
      <c r="E17" s="22" t="n">
        <f>150</f>
        <v>150.0</v>
      </c>
      <c r="F17" s="23" t="n">
        <f>0.011</f>
        <v>0.011</v>
      </c>
      <c r="G17" s="21" t="n">
        <f>29150000</f>
        <v>2.915E7</v>
      </c>
      <c r="H17" s="22" t="n">
        <f>10250000</f>
        <v>1.025E7</v>
      </c>
      <c r="I17" s="23" t="n">
        <f>0.003</f>
        <v>0.003</v>
      </c>
    </row>
    <row r="18" spans="1:9" ht="24.9" customHeight="1">
      <c r="A18" s="41"/>
      <c r="B18" s="39"/>
      <c r="C18" s="24" t="s">
        <v>18</v>
      </c>
      <c r="D18" s="25" t="n">
        <f>375</f>
        <v>375.0</v>
      </c>
      <c r="E18" s="26" t="n">
        <f>150</f>
        <v>150.0</v>
      </c>
      <c r="F18" s="27" t="n">
        <f>0.004</f>
        <v>0.004</v>
      </c>
      <c r="G18" s="25" t="n">
        <f>29150000</f>
        <v>2.915E7</v>
      </c>
      <c r="H18" s="26" t="n">
        <f>10250000</f>
        <v>1.025E7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21390</f>
        <v>21390.0</v>
      </c>
      <c r="E19" s="18" t="n">
        <f>2697</f>
        <v>2697.0</v>
      </c>
      <c r="F19" s="19" t="n">
        <f>1</f>
        <v>1.0</v>
      </c>
      <c r="G19" s="17" t="n">
        <f>3299381250</f>
        <v>3.29938125E9</v>
      </c>
      <c r="H19" s="18" t="n">
        <f>1278289750</f>
        <v>1.27828975E9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20382</f>
        <v>20382.0</v>
      </c>
      <c r="E20" s="22" t="n">
        <f>3428</f>
        <v>3428.0</v>
      </c>
      <c r="F20" s="23" t="n">
        <f>0.64</f>
        <v>0.64</v>
      </c>
      <c r="G20" s="21" t="n">
        <f>4754401830</f>
        <v>4.75440183E9</v>
      </c>
      <c r="H20" s="22" t="n">
        <f>3102128930</f>
        <v>3.10212893E9</v>
      </c>
      <c r="I20" s="23" t="n">
        <f>0.997</f>
        <v>0.997</v>
      </c>
    </row>
    <row r="21" spans="1:9" ht="24.9" customHeight="1">
      <c r="A21" s="41"/>
      <c r="B21" s="39"/>
      <c r="C21" s="20" t="s">
        <v>17</v>
      </c>
      <c r="D21" s="21" t="n">
        <f>25852</f>
        <v>25852.0</v>
      </c>
      <c r="E21" s="22" t="n">
        <f>10610</f>
        <v>10610.0</v>
      </c>
      <c r="F21" s="23" t="n">
        <f>0.77</f>
        <v>0.77</v>
      </c>
      <c r="G21" s="21" t="n">
        <f>11557473180</f>
        <v>1.155747318E10</v>
      </c>
      <c r="H21" s="22" t="n">
        <f>9034857780</f>
        <v>9.03485778E9</v>
      </c>
      <c r="I21" s="23" t="n">
        <f>0.991</f>
        <v>0.991</v>
      </c>
    </row>
    <row r="22" spans="1:9" ht="24.9" customHeight="1">
      <c r="A22" s="41"/>
      <c r="B22" s="39"/>
      <c r="C22" s="24" t="s">
        <v>18</v>
      </c>
      <c r="D22" s="25" t="n">
        <f>67624</f>
        <v>67624.0</v>
      </c>
      <c r="E22" s="26" t="n">
        <f>16735</f>
        <v>16735.0</v>
      </c>
      <c r="F22" s="27" t="n">
        <f>0.779</f>
        <v>0.779</v>
      </c>
      <c r="G22" s="25" t="n">
        <f>19611256260</f>
        <v>1.961125626E10</v>
      </c>
      <c r="H22" s="26" t="n">
        <f>13415276460</f>
        <v>1.341527646E10</v>
      </c>
      <c r="I22" s="27" t="n">
        <f>0.994</f>
        <v>0.994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11448</f>
        <v>11448.0</v>
      </c>
      <c r="E24" s="22" t="n">
        <f>0</f>
        <v>0.0</v>
      </c>
      <c r="F24" s="23" t="n">
        <f>0.36</f>
        <v>0.36</v>
      </c>
      <c r="G24" s="21" t="n">
        <f>15802400</f>
        <v>1.58024E7</v>
      </c>
      <c r="H24" s="22" t="n">
        <f>0</f>
        <v>0.0</v>
      </c>
      <c r="I24" s="23" t="n">
        <f>0.003</f>
        <v>0.003</v>
      </c>
    </row>
    <row r="25" spans="1:9" ht="24.9" customHeight="1">
      <c r="A25" s="41"/>
      <c r="B25" s="39"/>
      <c r="C25" s="20" t="s">
        <v>17</v>
      </c>
      <c r="D25" s="21" t="n">
        <f>7343</f>
        <v>7343.0</v>
      </c>
      <c r="E25" s="22" t="n">
        <f>700</f>
        <v>700.0</v>
      </c>
      <c r="F25" s="23" t="n">
        <f>0.219</f>
        <v>0.219</v>
      </c>
      <c r="G25" s="21" t="n">
        <f>72607560</f>
        <v>7.260756E7</v>
      </c>
      <c r="H25" s="22" t="n">
        <f>18550000</f>
        <v>1.855E7</v>
      </c>
      <c r="I25" s="23" t="n">
        <f>0.006</f>
        <v>0.006</v>
      </c>
    </row>
    <row r="26" spans="1:9" ht="24.9" customHeight="1">
      <c r="A26" s="41"/>
      <c r="B26" s="39"/>
      <c r="C26" s="24" t="s">
        <v>18</v>
      </c>
      <c r="D26" s="25" t="n">
        <f>18791</f>
        <v>18791.0</v>
      </c>
      <c r="E26" s="26" t="n">
        <f>700</f>
        <v>700.0</v>
      </c>
      <c r="F26" s="27" t="n">
        <f>0.217</f>
        <v>0.217</v>
      </c>
      <c r="G26" s="25" t="n">
        <f>88409960</f>
        <v>8.840996E7</v>
      </c>
      <c r="H26" s="26" t="n">
        <f>18550000</f>
        <v>1.855E7</v>
      </c>
      <c r="I26" s="27" t="n">
        <f>0.004</f>
        <v>0.004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46316.0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46316.0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16568.0</v>
      </c>
      <c r="F12" s="18" t="n">
        <f>1217</f>
        <v>1217.0</v>
      </c>
      <c r="G12" s="17" t="n">
        <v>1.06987537528E12</v>
      </c>
      <c r="H12" s="18" t="n">
        <f>78725533280</f>
        <v>7.872553328E10</v>
      </c>
    </row>
    <row r="13" spans="1:8" ht="24.9" customHeight="1">
      <c r="A13" s="51"/>
      <c r="B13" s="57"/>
      <c r="C13" s="39"/>
      <c r="D13" s="20" t="s">
        <v>16</v>
      </c>
      <c r="E13" s="21" t="n">
        <v>11749.0</v>
      </c>
      <c r="F13" s="22" t="n">
        <f>1050</f>
        <v>1050.0</v>
      </c>
      <c r="G13" s="21" t="n">
        <v>7.659944998E11</v>
      </c>
      <c r="H13" s="22" t="n">
        <f>68207629800</f>
        <v>6.82076298E10</v>
      </c>
    </row>
    <row r="14" spans="1:8" ht="24.9" customHeight="1">
      <c r="A14" s="51"/>
      <c r="B14" s="57"/>
      <c r="C14" s="39"/>
      <c r="D14" s="20" t="s">
        <v>17</v>
      </c>
      <c r="E14" s="21" t="n">
        <v>17022.0</v>
      </c>
      <c r="F14" s="22" t="n">
        <f>4653</f>
        <v>4653.0</v>
      </c>
      <c r="G14" s="21" t="n">
        <v>1.104446799653E12</v>
      </c>
      <c r="H14" s="22" t="n">
        <f>302006019653</f>
        <v>3.02006019653E11</v>
      </c>
    </row>
    <row r="15" spans="1:8" ht="24.9" customHeight="1">
      <c r="A15" s="51"/>
      <c r="B15" s="57"/>
      <c r="C15" s="39"/>
      <c r="D15" s="24" t="s">
        <v>18</v>
      </c>
      <c r="E15" s="25" t="n">
        <v>45339.0</v>
      </c>
      <c r="F15" s="26" t="n">
        <f>6920</f>
        <v>6920.0</v>
      </c>
      <c r="G15" s="25" t="n">
        <v>2.940316674733E12</v>
      </c>
      <c r="H15" s="26" t="n">
        <f>448939182733</f>
        <v>4.48939182733E11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438619.0</v>
      </c>
      <c r="F16" s="18" t="n">
        <f>45853</f>
        <v>45853.0</v>
      </c>
      <c r="G16" s="17" t="n">
        <v>2.82974911681E12</v>
      </c>
      <c r="H16" s="18" t="n">
        <f>295702088310</f>
        <v>2.9570208831E11</v>
      </c>
    </row>
    <row r="17" spans="1:8" ht="24.9" customHeight="1">
      <c r="A17" s="51"/>
      <c r="B17" s="57"/>
      <c r="C17" s="39"/>
      <c r="D17" s="20" t="s">
        <v>16</v>
      </c>
      <c r="E17" s="21" t="n">
        <v>228726.0</v>
      </c>
      <c r="F17" s="22" t="n">
        <f>18604</f>
        <v>18604.0</v>
      </c>
      <c r="G17" s="21" t="n">
        <v>1.49115189906E12</v>
      </c>
      <c r="H17" s="22" t="n">
        <f>121277410560</f>
        <v>1.2127741056E11</v>
      </c>
    </row>
    <row r="18" spans="1:8" ht="24.9" customHeight="1">
      <c r="A18" s="51"/>
      <c r="B18" s="57"/>
      <c r="C18" s="39"/>
      <c r="D18" s="20" t="s">
        <v>17</v>
      </c>
      <c r="E18" s="21" t="n">
        <v>185268.0</v>
      </c>
      <c r="F18" s="22" t="n">
        <f>17274</f>
        <v>17274.0</v>
      </c>
      <c r="G18" s="21" t="n">
        <v>1.202173127918E12</v>
      </c>
      <c r="H18" s="22" t="n">
        <f>112058103418</f>
        <v>1.12058103418E11</v>
      </c>
    </row>
    <row r="19" spans="1:8" ht="24.9" customHeight="1">
      <c r="A19" s="51"/>
      <c r="B19" s="57"/>
      <c r="C19" s="39"/>
      <c r="D19" s="24" t="s">
        <v>18</v>
      </c>
      <c r="E19" s="25" t="n">
        <v>852613.0</v>
      </c>
      <c r="F19" s="26" t="n">
        <f>81731</f>
        <v>81731.0</v>
      </c>
      <c r="G19" s="25" t="n">
        <v>5.523074143788E12</v>
      </c>
      <c r="H19" s="26" t="n">
        <f>529037602288</f>
        <v>5.29037602288E11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622631.0</v>
      </c>
      <c r="F20" s="18" t="str">
        <f>"－"</f>
        <v>－</v>
      </c>
      <c r="G20" s="17" t="n">
        <v>4.015223637E11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232252.0</v>
      </c>
      <c r="F21" s="22" t="str">
        <f>"－"</f>
        <v>－</v>
      </c>
      <c r="G21" s="21" t="n">
        <v>1.51441778E11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178681.0</v>
      </c>
      <c r="F22" s="22" t="str">
        <f>"－"</f>
        <v>－</v>
      </c>
      <c r="G22" s="21" t="n">
        <v>1.1595238685E11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1033564.0</v>
      </c>
      <c r="F23" s="26" t="str">
        <f>"－"</f>
        <v>－</v>
      </c>
      <c r="G23" s="25" t="n">
        <v>6.6891652855E11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16846.0</v>
      </c>
      <c r="F24" s="18" t="n">
        <f>111</f>
        <v>111.0</v>
      </c>
      <c r="G24" s="17" t="n">
        <v>6.800441335E11</v>
      </c>
      <c r="H24" s="18" t="n">
        <f>4465288500</f>
        <v>4.4652885E9</v>
      </c>
    </row>
    <row r="25" spans="1:8" ht="24.9" customHeight="1">
      <c r="A25" s="51"/>
      <c r="B25" s="57"/>
      <c r="C25" s="39"/>
      <c r="D25" s="20" t="s">
        <v>16</v>
      </c>
      <c r="E25" s="21" t="n">
        <v>20744.0</v>
      </c>
      <c r="F25" s="22" t="n">
        <f>315</f>
        <v>315.0</v>
      </c>
      <c r="G25" s="21" t="n">
        <v>8.43041023E11</v>
      </c>
      <c r="H25" s="22" t="n">
        <f>12780908000</f>
        <v>1.2780908E10</v>
      </c>
    </row>
    <row r="26" spans="1:8" ht="24.9" customHeight="1">
      <c r="A26" s="51"/>
      <c r="B26" s="57"/>
      <c r="C26" s="39"/>
      <c r="D26" s="20" t="s">
        <v>17</v>
      </c>
      <c r="E26" s="21" t="n">
        <v>27925.0</v>
      </c>
      <c r="F26" s="22" t="n">
        <f>8171</f>
        <v>8171.0</v>
      </c>
      <c r="G26" s="21" t="n">
        <v>1.1329544813E12</v>
      </c>
      <c r="H26" s="22" t="n">
        <f>331235506300</f>
        <v>3.312355063E11</v>
      </c>
    </row>
    <row r="27" spans="1:8" ht="24.9" customHeight="1">
      <c r="A27" s="51"/>
      <c r="B27" s="57"/>
      <c r="C27" s="39"/>
      <c r="D27" s="24" t="s">
        <v>18</v>
      </c>
      <c r="E27" s="25" t="n">
        <v>65515.0</v>
      </c>
      <c r="F27" s="26" t="n">
        <f>8597</f>
        <v>8597.0</v>
      </c>
      <c r="G27" s="25" t="n">
        <v>2.6560396378E12</v>
      </c>
      <c r="H27" s="26" t="n">
        <f>348481702800</f>
        <v>3.484817028E11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7075.0</v>
      </c>
      <c r="F28" s="18" t="n">
        <f>436</f>
        <v>436.0</v>
      </c>
      <c r="G28" s="17" t="n">
        <v>2.855002625E10</v>
      </c>
      <c r="H28" s="18" t="n">
        <f>1761452000</f>
        <v>1.761452E9</v>
      </c>
    </row>
    <row r="29" spans="1:8" ht="24.9" customHeight="1">
      <c r="A29" s="51"/>
      <c r="B29" s="57"/>
      <c r="C29" s="39"/>
      <c r="D29" s="20" t="s">
        <v>16</v>
      </c>
      <c r="E29" s="21" t="n">
        <v>8409.0</v>
      </c>
      <c r="F29" s="22" t="n">
        <f>355</f>
        <v>355.0</v>
      </c>
      <c r="G29" s="21" t="n">
        <v>3.41697313E10</v>
      </c>
      <c r="H29" s="22" t="n">
        <f>1442850300</f>
        <v>1.4428503E9</v>
      </c>
    </row>
    <row r="30" spans="1:8" ht="24.9" customHeight="1">
      <c r="A30" s="51"/>
      <c r="B30" s="57"/>
      <c r="C30" s="39"/>
      <c r="D30" s="20" t="s">
        <v>17</v>
      </c>
      <c r="E30" s="21" t="n">
        <v>6013.0</v>
      </c>
      <c r="F30" s="22" t="n">
        <f>128</f>
        <v>128.0</v>
      </c>
      <c r="G30" s="21" t="n">
        <v>2.440369715E10</v>
      </c>
      <c r="H30" s="22" t="n">
        <f>519861400</f>
        <v>5.198614E8</v>
      </c>
    </row>
    <row r="31" spans="1:8" ht="24.9" customHeight="1">
      <c r="A31" s="51"/>
      <c r="B31" s="57"/>
      <c r="C31" s="39"/>
      <c r="D31" s="24" t="s">
        <v>18</v>
      </c>
      <c r="E31" s="25" t="n">
        <v>21497.0</v>
      </c>
      <c r="F31" s="26" t="n">
        <f>919</f>
        <v>919.0</v>
      </c>
      <c r="G31" s="25" t="n">
        <v>8.71234547E10</v>
      </c>
      <c r="H31" s="26" t="n">
        <f>3724163700</f>
        <v>3.7241637E9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391.0</v>
      </c>
      <c r="F36" s="18" t="n">
        <f>0</f>
        <v>0.0</v>
      </c>
      <c r="G36" s="17" t="n">
        <v>1.4298865E9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1691.0</v>
      </c>
      <c r="F37" s="22" t="n">
        <f>1</f>
        <v>1.0</v>
      </c>
      <c r="G37" s="21" t="n">
        <v>6.2288315E9</v>
      </c>
      <c r="H37" s="22" t="n">
        <f>3689500</f>
        <v>3689500.0</v>
      </c>
    </row>
    <row r="38" spans="1:8" ht="24.9" customHeight="1">
      <c r="A38" s="51"/>
      <c r="B38" s="57"/>
      <c r="C38" s="39"/>
      <c r="D38" s="20" t="s">
        <v>17</v>
      </c>
      <c r="E38" s="21" t="n">
        <v>999.0</v>
      </c>
      <c r="F38" s="22" t="n">
        <f>5</f>
        <v>5.0</v>
      </c>
      <c r="G38" s="21" t="n">
        <v>3.6730355E9</v>
      </c>
      <c r="H38" s="22" t="n">
        <f>18400000</f>
        <v>1.84E7</v>
      </c>
    </row>
    <row r="39" spans="1:8" ht="24.9" customHeight="1">
      <c r="A39" s="51"/>
      <c r="B39" s="57"/>
      <c r="C39" s="39"/>
      <c r="D39" s="24" t="s">
        <v>18</v>
      </c>
      <c r="E39" s="25" t="n">
        <v>3081.0</v>
      </c>
      <c r="F39" s="26" t="n">
        <f>6</f>
        <v>6.0</v>
      </c>
      <c r="G39" s="25" t="n">
        <v>1.13317535E10</v>
      </c>
      <c r="H39" s="26" t="n">
        <f>22089500</f>
        <v>2.20895E7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100.0</v>
      </c>
      <c r="F45" s="22" t="n">
        <f>100</f>
        <v>100.0</v>
      </c>
      <c r="G45" s="21" t="n">
        <v>7.06E8</v>
      </c>
      <c r="H45" s="22" t="n">
        <f>706000000</f>
        <v>7.06E8</v>
      </c>
    </row>
    <row r="46" spans="1:8" ht="24.9" customHeight="1">
      <c r="A46" s="51"/>
      <c r="B46" s="57"/>
      <c r="C46" s="39"/>
      <c r="D46" s="20" t="s">
        <v>17</v>
      </c>
      <c r="E46" s="21" t="n">
        <v>37.0</v>
      </c>
      <c r="F46" s="22" t="n">
        <f>37</f>
        <v>37.0</v>
      </c>
      <c r="G46" s="21" t="n">
        <v>2.63625E8</v>
      </c>
      <c r="H46" s="22" t="n">
        <f>263625000</f>
        <v>2.63625E8</v>
      </c>
    </row>
    <row r="47" spans="1:8" ht="24.9" customHeight="1">
      <c r="A47" s="51"/>
      <c r="B47" s="57"/>
      <c r="C47" s="39"/>
      <c r="D47" s="24" t="s">
        <v>18</v>
      </c>
      <c r="E47" s="25" t="n">
        <v>137.0</v>
      </c>
      <c r="F47" s="26" t="n">
        <f>137</f>
        <v>137.0</v>
      </c>
      <c r="G47" s="25" t="n">
        <v>9.69625E8</v>
      </c>
      <c r="H47" s="26" t="n">
        <f>969625000</f>
        <v>9.69625E8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47.0</v>
      </c>
      <c r="F48" s="18" t="n">
        <f>46</f>
        <v>46.0</v>
      </c>
      <c r="G48" s="17" t="n">
        <v>7.700075E7</v>
      </c>
      <c r="H48" s="18" t="n">
        <f>75370250</f>
        <v>7.537025E7</v>
      </c>
    </row>
    <row r="49" spans="1:8" ht="24.9" customHeight="1">
      <c r="A49" s="51"/>
      <c r="B49" s="57"/>
      <c r="C49" s="39"/>
      <c r="D49" s="20" t="s">
        <v>16</v>
      </c>
      <c r="E49" s="21" t="n">
        <v>19.0</v>
      </c>
      <c r="F49" s="22" t="n">
        <f>0</f>
        <v>0.0</v>
      </c>
      <c r="G49" s="21" t="n">
        <v>3.12915E7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75.0</v>
      </c>
      <c r="F50" s="22" t="n">
        <f>43</f>
        <v>43.0</v>
      </c>
      <c r="G50" s="21" t="n">
        <v>1.2346965E8</v>
      </c>
      <c r="H50" s="22" t="n">
        <f>70750150</f>
        <v>7.075015E7</v>
      </c>
    </row>
    <row r="51" spans="1:8" ht="24.9" customHeight="1">
      <c r="A51" s="51"/>
      <c r="B51" s="57"/>
      <c r="C51" s="39"/>
      <c r="D51" s="24" t="s">
        <v>18</v>
      </c>
      <c r="E51" s="25" t="n">
        <v>141.0</v>
      </c>
      <c r="F51" s="26" t="n">
        <f>89</f>
        <v>89.0</v>
      </c>
      <c r="G51" s="25" t="n">
        <v>2.317619E8</v>
      </c>
      <c r="H51" s="26" t="n">
        <f>146120400</f>
        <v>1.461204E8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1140.0</v>
      </c>
      <c r="F56" s="18" t="n">
        <f>23</f>
        <v>23.0</v>
      </c>
      <c r="G56" s="17" t="n">
        <v>8.458099E8</v>
      </c>
      <c r="H56" s="18" t="n">
        <f>17139900</f>
        <v>1.71399E7</v>
      </c>
    </row>
    <row r="57" spans="1:8" ht="24.9" customHeight="1">
      <c r="A57" s="51"/>
      <c r="B57" s="57"/>
      <c r="C57" s="39"/>
      <c r="D57" s="20" t="s">
        <v>16</v>
      </c>
      <c r="E57" s="21" t="n">
        <v>1108.0</v>
      </c>
      <c r="F57" s="22" t="n">
        <f>30</f>
        <v>30.0</v>
      </c>
      <c r="G57" s="21" t="n">
        <v>8.355009E8</v>
      </c>
      <c r="H57" s="22" t="n">
        <f>22577900</f>
        <v>2.25779E7</v>
      </c>
    </row>
    <row r="58" spans="1:8" ht="24.9" customHeight="1">
      <c r="A58" s="51"/>
      <c r="B58" s="57"/>
      <c r="C58" s="39"/>
      <c r="D58" s="20" t="s">
        <v>17</v>
      </c>
      <c r="E58" s="21" t="n">
        <v>1002.0</v>
      </c>
      <c r="F58" s="22" t="n">
        <f>13</f>
        <v>13.0</v>
      </c>
      <c r="G58" s="21" t="n">
        <v>7.613683E8</v>
      </c>
      <c r="H58" s="22" t="n">
        <f>9951300</f>
        <v>9951300.0</v>
      </c>
    </row>
    <row r="59" spans="1:8" ht="24.9" customHeight="1">
      <c r="A59" s="51"/>
      <c r="B59" s="57"/>
      <c r="C59" s="39"/>
      <c r="D59" s="24" t="s">
        <v>18</v>
      </c>
      <c r="E59" s="25" t="n">
        <v>3250.0</v>
      </c>
      <c r="F59" s="26" t="n">
        <f>66</f>
        <v>66.0</v>
      </c>
      <c r="G59" s="25" t="n">
        <v>2.4426791E9</v>
      </c>
      <c r="H59" s="26" t="n">
        <f>49669100</f>
        <v>4.96691E7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236.0</v>
      </c>
      <c r="F60" s="18" t="n">
        <f>13</f>
        <v>13.0</v>
      </c>
      <c r="G60" s="17" t="n">
        <v>1.2395288E9</v>
      </c>
      <c r="H60" s="18" t="n">
        <f>68675100</f>
        <v>6.86751E7</v>
      </c>
    </row>
    <row r="61" spans="1:8" ht="24.9" customHeight="1">
      <c r="A61" s="51"/>
      <c r="B61" s="57"/>
      <c r="C61" s="39"/>
      <c r="D61" s="20" t="s">
        <v>16</v>
      </c>
      <c r="E61" s="21" t="n">
        <v>30.0</v>
      </c>
      <c r="F61" s="22" t="n">
        <f>2</f>
        <v>2.0</v>
      </c>
      <c r="G61" s="21" t="n">
        <v>1.582127E8</v>
      </c>
      <c r="H61" s="22" t="n">
        <f>10548200</f>
        <v>1.05482E7</v>
      </c>
    </row>
    <row r="62" spans="1:8" ht="24.9" customHeight="1">
      <c r="A62" s="51"/>
      <c r="B62" s="57"/>
      <c r="C62" s="39"/>
      <c r="D62" s="20" t="s">
        <v>17</v>
      </c>
      <c r="E62" s="21" t="n">
        <v>28.0</v>
      </c>
      <c r="F62" s="22" t="n">
        <f>2</f>
        <v>2.0</v>
      </c>
      <c r="G62" s="21" t="n">
        <v>1.47617E8</v>
      </c>
      <c r="H62" s="22" t="n">
        <f>10539800</f>
        <v>1.05398E7</v>
      </c>
    </row>
    <row r="63" spans="1:8" ht="24.9" customHeight="1">
      <c r="A63" s="51"/>
      <c r="B63" s="57"/>
      <c r="C63" s="39"/>
      <c r="D63" s="24" t="s">
        <v>18</v>
      </c>
      <c r="E63" s="25" t="n">
        <v>294.0</v>
      </c>
      <c r="F63" s="26" t="n">
        <f>17</f>
        <v>17.0</v>
      </c>
      <c r="G63" s="25" t="n">
        <v>1.5453585E9</v>
      </c>
      <c r="H63" s="26" t="n">
        <f>89763100</f>
        <v>8.97631E7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3.0</v>
      </c>
      <c r="F77" s="22" t="n">
        <f>0</f>
        <v>0.0</v>
      </c>
      <c r="G77" s="21" t="n">
        <v>987000.0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12.0</v>
      </c>
      <c r="F78" s="22" t="n">
        <f>0</f>
        <v>0.0</v>
      </c>
      <c r="G78" s="21" t="n">
        <v>3885000.0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15.0</v>
      </c>
      <c r="F79" s="26" t="n">
        <f>0</f>
        <v>0.0</v>
      </c>
      <c r="G79" s="25" t="n">
        <v>4872000.0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654.0</v>
      </c>
      <c r="F92" s="18" t="n">
        <f>0</f>
        <v>0.0</v>
      </c>
      <c r="G92" s="17" t="n">
        <v>1.0294581E9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1529.0</v>
      </c>
      <c r="F93" s="22" t="n">
        <f>0</f>
        <v>0.0</v>
      </c>
      <c r="G93" s="21" t="n">
        <v>2.4104936E9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785.0</v>
      </c>
      <c r="F94" s="22" t="n">
        <f>0</f>
        <v>0.0</v>
      </c>
      <c r="G94" s="21" t="n">
        <v>1.2363319E9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2968.0</v>
      </c>
      <c r="F95" s="26" t="n">
        <f>0</f>
        <v>0.0</v>
      </c>
      <c r="G95" s="25" t="n">
        <v>4.6762836E9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21.0</v>
      </c>
      <c r="F96" s="18" t="n">
        <f>0</f>
        <v>0.0</v>
      </c>
      <c r="G96" s="17" t="n">
        <v>4.9665E7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21.0</v>
      </c>
      <c r="F99" s="26" t="n">
        <f>0</f>
        <v>0.0</v>
      </c>
      <c r="G99" s="25" t="n">
        <v>4.9665E7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19.0</v>
      </c>
      <c r="F100" s="18" t="n">
        <f>0</f>
        <v>0.0</v>
      </c>
      <c r="G100" s="17" t="n">
        <v>3.36186E7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19.0</v>
      </c>
      <c r="F103" s="26" t="n">
        <f>0</f>
        <v>0.0</v>
      </c>
      <c r="G103" s="25" t="n">
        <v>3.36186E7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12893.0</v>
      </c>
      <c r="F108" s="18" t="n">
        <f>202</f>
        <v>202.0</v>
      </c>
      <c r="G108" s="17" t="n">
        <v>1.62277235E12</v>
      </c>
      <c r="H108" s="18" t="n">
        <f>25411050000</f>
        <v>2.541105E10</v>
      </c>
    </row>
    <row r="109" spans="1:8" ht="24.9" customHeight="1">
      <c r="A109" s="51"/>
      <c r="B109" s="57"/>
      <c r="C109" s="39"/>
      <c r="D109" s="20" t="s">
        <v>16</v>
      </c>
      <c r="E109" s="21" t="n">
        <v>10794.0</v>
      </c>
      <c r="F109" s="22" t="n">
        <f>968</f>
        <v>968.0</v>
      </c>
      <c r="G109" s="21" t="n">
        <v>1.35753544E12</v>
      </c>
      <c r="H109" s="22" t="n">
        <f>121761340000</f>
        <v>1.2176134E11</v>
      </c>
    </row>
    <row r="110" spans="1:8" ht="24.9" customHeight="1">
      <c r="A110" s="51"/>
      <c r="B110" s="57"/>
      <c r="C110" s="39"/>
      <c r="D110" s="20" t="s">
        <v>17</v>
      </c>
      <c r="E110" s="21" t="n">
        <v>12806.0</v>
      </c>
      <c r="F110" s="22" t="n">
        <f>704</f>
        <v>704.0</v>
      </c>
      <c r="G110" s="21" t="n">
        <v>1.611023105E12</v>
      </c>
      <c r="H110" s="22" t="n">
        <f>88558345000</f>
        <v>8.8558345E10</v>
      </c>
    </row>
    <row r="111" spans="1:8" ht="24.9" customHeight="1">
      <c r="A111" s="51"/>
      <c r="B111" s="57"/>
      <c r="C111" s="39"/>
      <c r="D111" s="24" t="s">
        <v>18</v>
      </c>
      <c r="E111" s="25" t="n">
        <v>36493.0</v>
      </c>
      <c r="F111" s="26" t="n">
        <f>1874</f>
        <v>1874.0</v>
      </c>
      <c r="G111" s="25" t="n">
        <v>4.591330895E12</v>
      </c>
      <c r="H111" s="26" t="n">
        <f>235730735000</f>
        <v>2.35730735E11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1113.0</v>
      </c>
      <c r="F113" s="22" t="n">
        <f>0</f>
        <v>0.0</v>
      </c>
      <c r="G113" s="21" t="n">
        <v>1.3997865E10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932.0</v>
      </c>
      <c r="F114" s="22" t="n">
        <f>0</f>
        <v>0.0</v>
      </c>
      <c r="G114" s="21" t="n">
        <v>1.1725516E10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2045.0</v>
      </c>
      <c r="F115" s="26" t="n">
        <f>0</f>
        <v>0.0</v>
      </c>
      <c r="G115" s="25" t="n">
        <v>2.5723381E10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90.0</v>
      </c>
      <c r="F118" s="22" t="n">
        <f>0</f>
        <v>0.0</v>
      </c>
      <c r="G118" s="21" t="n">
        <v>8.1015E8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90.0</v>
      </c>
      <c r="F119" s="26" t="n">
        <f>0</f>
        <v>0.0</v>
      </c>
      <c r="G119" s="25" t="n">
        <v>8.1015E8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665.0</v>
      </c>
      <c r="F120" s="18" t="n">
        <f>0</f>
        <v>0.0</v>
      </c>
      <c r="G120" s="17" t="n">
        <v>1.6339191875E10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725.0</v>
      </c>
      <c r="F121" s="22" t="n">
        <f>0</f>
        <v>0.0</v>
      </c>
      <c r="G121" s="21" t="n">
        <v>1.7846454375E10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396.0</v>
      </c>
      <c r="F122" s="22" t="n">
        <f>0</f>
        <v>0.0</v>
      </c>
      <c r="G122" s="21" t="n">
        <v>9.7398475E9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1786.0</v>
      </c>
      <c r="F123" s="26" t="n">
        <f>0</f>
        <v>0.0</v>
      </c>
      <c r="G123" s="25" t="n">
        <v>4.392549375E10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4983.0</v>
      </c>
      <c r="F124" s="18" t="n">
        <f>0</f>
        <v>0.0</v>
      </c>
      <c r="G124" s="17" t="n">
        <v>1.06879296E11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2869.0</v>
      </c>
      <c r="F125" s="22" t="n">
        <f>0</f>
        <v>0.0</v>
      </c>
      <c r="G125" s="21" t="n">
        <v>6.1453739E10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2791.0</v>
      </c>
      <c r="F126" s="22" t="n">
        <f>0</f>
        <v>0.0</v>
      </c>
      <c r="G126" s="21" t="n">
        <v>5.9759919E10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10643.0</v>
      </c>
      <c r="F127" s="26" t="n">
        <f>0</f>
        <v>0.0</v>
      </c>
      <c r="G127" s="25" t="n">
        <v>2.28092954E11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41.0</v>
      </c>
      <c r="F128" s="18" t="n">
        <f>0</f>
        <v>0.0</v>
      </c>
      <c r="G128" s="17" t="n">
        <v>8.67811E7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130.0</v>
      </c>
      <c r="F129" s="22" t="n">
        <f>0</f>
        <v>0.0</v>
      </c>
      <c r="G129" s="21" t="n">
        <v>2.749046E8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72.0</v>
      </c>
      <c r="F130" s="22" t="n">
        <f>0</f>
        <v>0.0</v>
      </c>
      <c r="G130" s="21" t="n">
        <v>1.521125E8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243.0</v>
      </c>
      <c r="F131" s="26" t="n">
        <f>0</f>
        <v>0.0</v>
      </c>
      <c r="G131" s="25" t="n">
        <v>5.137982E8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4938.0</v>
      </c>
      <c r="F132" s="18" t="n">
        <f>0</f>
        <v>0.0</v>
      </c>
      <c r="G132" s="17" t="n">
        <v>1.062630295E10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1689.0</v>
      </c>
      <c r="F133" s="22" t="n">
        <f>0</f>
        <v>0.0</v>
      </c>
      <c r="G133" s="21" t="n">
        <v>3.63195715E9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1867.0</v>
      </c>
      <c r="F134" s="22" t="n">
        <f>0</f>
        <v>0.0</v>
      </c>
      <c r="G134" s="21" t="n">
        <v>4.0122223E9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8494.0</v>
      </c>
      <c r="F135" s="26" t="n">
        <f>0</f>
        <v>0.0</v>
      </c>
      <c r="G135" s="25" t="n">
        <v>1.82704824E10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6.0</v>
      </c>
      <c r="F136" s="18" t="n">
        <f>0</f>
        <v>0.0</v>
      </c>
      <c r="G136" s="17" t="n">
        <v>1.25802E7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23.0</v>
      </c>
      <c r="F137" s="22" t="n">
        <f>0</f>
        <v>0.0</v>
      </c>
      <c r="G137" s="21" t="n">
        <v>4.8046E7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19.0</v>
      </c>
      <c r="F138" s="22" t="n">
        <f>0</f>
        <v>0.0</v>
      </c>
      <c r="G138" s="21" t="n">
        <v>3.97187E7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48.0</v>
      </c>
      <c r="F139" s="26" t="n">
        <f>0</f>
        <v>0.0</v>
      </c>
      <c r="G139" s="25" t="n">
        <v>1.003449E8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742.0</v>
      </c>
      <c r="F144" s="18" t="n">
        <f>0</f>
        <v>0.0</v>
      </c>
      <c r="G144" s="17" t="n">
        <v>3.010771E9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1890.0</v>
      </c>
      <c r="F145" s="22" t="n">
        <f>0</f>
        <v>0.0</v>
      </c>
      <c r="G145" s="21" t="n">
        <v>7.7560905E9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676.0</v>
      </c>
      <c r="F146" s="22" t="n">
        <f>0</f>
        <v>0.0</v>
      </c>
      <c r="G146" s="21" t="n">
        <v>2.7371765E9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3308.0</v>
      </c>
      <c r="F147" s="26" t="n">
        <f>0</f>
        <v>0.0</v>
      </c>
      <c r="G147" s="25" t="n">
        <v>1.3504038E10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54.0</v>
      </c>
      <c r="F148" s="18" t="n">
        <f>0</f>
        <v>0.0</v>
      </c>
      <c r="G148" s="17" t="n">
        <v>4.5405E7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871.0</v>
      </c>
      <c r="F149" s="22" t="n">
        <f>0</f>
        <v>0.0</v>
      </c>
      <c r="G149" s="21" t="n">
        <v>7.345506E8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3506.0</v>
      </c>
      <c r="F150" s="22" t="n">
        <f>0</f>
        <v>0.0</v>
      </c>
      <c r="G150" s="21" t="n">
        <v>2.9341337E9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4431.0</v>
      </c>
      <c r="F151" s="26" t="n">
        <f>0</f>
        <v>0.0</v>
      </c>
      <c r="G151" s="25" t="n">
        <v>3.7140893E9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576.0</v>
      </c>
      <c r="F152" s="18" t="n">
        <f>0</f>
        <v>0.0</v>
      </c>
      <c r="G152" s="17" t="n">
        <v>4.700343E8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303.0</v>
      </c>
      <c r="F153" s="22" t="n">
        <f>0</f>
        <v>0.0</v>
      </c>
      <c r="G153" s="21" t="n">
        <v>2.494118E8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584.0</v>
      </c>
      <c r="F154" s="22" t="n">
        <f>0</f>
        <v>0.0</v>
      </c>
      <c r="G154" s="21" t="n">
        <v>4.732429E8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1463.0</v>
      </c>
      <c r="F155" s="26" t="n">
        <f>0</f>
        <v>0.0</v>
      </c>
      <c r="G155" s="25" t="n">
        <v>1.192689E9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54.0</v>
      </c>
      <c r="F156" s="18" t="n">
        <f>0</f>
        <v>0.0</v>
      </c>
      <c r="G156" s="17" t="n">
        <v>4.46855E7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323.0</v>
      </c>
      <c r="F157" s="22" t="n">
        <f>0</f>
        <v>0.0</v>
      </c>
      <c r="G157" s="21" t="n">
        <v>2.672212E8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84.0</v>
      </c>
      <c r="F158" s="22" t="n">
        <f>0</f>
        <v>0.0</v>
      </c>
      <c r="G158" s="21" t="n">
        <v>6.89411E7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461.0</v>
      </c>
      <c r="F159" s="26" t="n">
        <f>0</f>
        <v>0.0</v>
      </c>
      <c r="G159" s="25" t="n">
        <v>3.808478E8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77.0</v>
      </c>
      <c r="F168" s="18" t="n">
        <f>0</f>
        <v>0.0</v>
      </c>
      <c r="G168" s="17" t="n">
        <v>1.734365E8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293.0</v>
      </c>
      <c r="F169" s="22" t="n">
        <f>0</f>
        <v>0.0</v>
      </c>
      <c r="G169" s="21" t="n">
        <v>6.506265E8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221.0</v>
      </c>
      <c r="F170" s="22" t="n">
        <f>0</f>
        <v>0.0</v>
      </c>
      <c r="G170" s="21" t="n">
        <v>4.965185E8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591.0</v>
      </c>
      <c r="F171" s="26" t="n">
        <f>0</f>
        <v>0.0</v>
      </c>
      <c r="G171" s="25" t="n">
        <v>1.3205815E9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674.0</v>
      </c>
      <c r="F204" s="18" t="n">
        <f>0</f>
        <v>0.0</v>
      </c>
      <c r="G204" s="17" t="n">
        <v>3.3141255E9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80.0</v>
      </c>
      <c r="F205" s="22" t="n">
        <f>0</f>
        <v>0.0</v>
      </c>
      <c r="G205" s="21" t="n">
        <v>3.90191E8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1702.0</v>
      </c>
      <c r="F206" s="22" t="n">
        <f>0</f>
        <v>0.0</v>
      </c>
      <c r="G206" s="21" t="n">
        <v>8.430619E9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2456.0</v>
      </c>
      <c r="F207" s="26" t="n">
        <f>0</f>
        <v>0.0</v>
      </c>
      <c r="G207" s="25" t="n">
        <v>1.21349355E10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120.0</v>
      </c>
      <c r="F210" s="22" t="n">
        <f>120</f>
        <v>120.0</v>
      </c>
      <c r="G210" s="21" t="n">
        <v>1.84464E8</v>
      </c>
      <c r="H210" s="22" t="n">
        <f>184464000</f>
        <v>1.84464E8</v>
      </c>
    </row>
    <row r="211" spans="1:8" ht="24.9" customHeight="1">
      <c r="A211" s="57"/>
      <c r="B211" s="59"/>
      <c r="C211" s="39"/>
      <c r="D211" s="24" t="s">
        <v>18</v>
      </c>
      <c r="E211" s="25" t="n">
        <v>120.0</v>
      </c>
      <c r="F211" s="26" t="n">
        <f>120</f>
        <v>120.0</v>
      </c>
      <c r="G211" s="25" t="n">
        <v>1.84464E8</v>
      </c>
      <c r="H211" s="26" t="n">
        <f>184464000</f>
        <v>1.84464E8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20.0</v>
      </c>
      <c r="F216" s="18" t="n">
        <f>20</f>
        <v>20.0</v>
      </c>
      <c r="G216" s="17" t="n">
        <v>2.9448E7</v>
      </c>
      <c r="H216" s="18" t="n">
        <f>29448000</f>
        <v>2.9448E7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20.0</v>
      </c>
      <c r="F219" s="26" t="n">
        <f>20</f>
        <v>20.0</v>
      </c>
      <c r="G219" s="25" t="n">
        <v>2.9448E7</v>
      </c>
      <c r="H219" s="26" t="n">
        <f>29448000</f>
        <v>2.9448E7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29.0</v>
      </c>
      <c r="F222" s="22" t="n">
        <f>29</f>
        <v>29.0</v>
      </c>
      <c r="G222" s="21" t="n">
        <v>1.67616E7</v>
      </c>
      <c r="H222" s="22" t="n">
        <f>16761600</f>
        <v>1.67616E7</v>
      </c>
    </row>
    <row r="223" spans="1:8" ht="24.9" customHeight="1">
      <c r="A223" s="57"/>
      <c r="B223" s="59"/>
      <c r="C223" s="39"/>
      <c r="D223" s="24" t="s">
        <v>18</v>
      </c>
      <c r="E223" s="25" t="n">
        <v>29.0</v>
      </c>
      <c r="F223" s="26" t="n">
        <f>29</f>
        <v>29.0</v>
      </c>
      <c r="G223" s="25" t="n">
        <v>1.67616E7</v>
      </c>
      <c r="H223" s="26" t="n">
        <f>16761600</f>
        <v>1.67616E7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20.0</v>
      </c>
      <c r="F256" s="18" t="n">
        <f>20</f>
        <v>20.0</v>
      </c>
      <c r="G256" s="17" t="n">
        <v>3.592656E8</v>
      </c>
      <c r="H256" s="18" t="n">
        <f>359265600</f>
        <v>3.592656E8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20.0</v>
      </c>
      <c r="F259" s="26" t="n">
        <f>20</f>
        <v>20.0</v>
      </c>
      <c r="G259" s="25" t="n">
        <v>3.592656E8</v>
      </c>
      <c r="H259" s="26" t="n">
        <f>359265600</f>
        <v>3.592656E8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7.0</v>
      </c>
      <c r="F282" s="22" t="n">
        <f>0</f>
        <v>0.0</v>
      </c>
      <c r="G282" s="21" t="n">
        <v>9450000.0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7.0</v>
      </c>
      <c r="F283" s="26" t="n">
        <f>0</f>
        <v>0.0</v>
      </c>
      <c r="G283" s="25" t="n">
        <v>9450000.0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46316.0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46316.0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3969</f>
        <v>3969.0</v>
      </c>
      <c r="E12" s="35" t="n">
        <f>1488</f>
        <v>1488.0</v>
      </c>
      <c r="F12" s="17" t="n">
        <f>1905</f>
        <v>1905.0</v>
      </c>
      <c r="G12" s="35" t="n">
        <f>259</f>
        <v>259.0</v>
      </c>
      <c r="H12" s="17" t="n">
        <f>5874</f>
        <v>5874.0</v>
      </c>
      <c r="I12" s="35" t="n">
        <f>1747</f>
        <v>1747.0</v>
      </c>
      <c r="J12" s="17" t="n">
        <f>2272248260</f>
        <v>2.27224826E9</v>
      </c>
      <c r="K12" s="35" t="n">
        <f>1193261260</f>
        <v>1.19326126E9</v>
      </c>
      <c r="L12" s="17" t="n">
        <f>516735290</f>
        <v>5.1673529E8</v>
      </c>
      <c r="M12" s="35" t="n">
        <f>70601290</f>
        <v>7.060129E7</v>
      </c>
      <c r="N12" s="17" t="n">
        <f>2788983550</f>
        <v>2.78898355E9</v>
      </c>
      <c r="O12" s="35" t="n">
        <f>1263862550</f>
        <v>1.26386255E9</v>
      </c>
    </row>
    <row r="13" spans="1:15" ht="24.9" customHeight="1">
      <c r="A13" s="38"/>
      <c r="B13" s="62"/>
      <c r="C13" s="20" t="s">
        <v>16</v>
      </c>
      <c r="D13" s="21" t="n">
        <f>2817</f>
        <v>2817.0</v>
      </c>
      <c r="E13" s="36" t="n">
        <f>1054</f>
        <v>1054.0</v>
      </c>
      <c r="F13" s="21" t="n">
        <f>2937</f>
        <v>2937.0</v>
      </c>
      <c r="G13" s="36" t="n">
        <f>1434</f>
        <v>1434.0</v>
      </c>
      <c r="H13" s="21" t="n">
        <f>5754</f>
        <v>5754.0</v>
      </c>
      <c r="I13" s="36" t="n">
        <f>2488</f>
        <v>2488.0</v>
      </c>
      <c r="J13" s="21" t="n">
        <f>2316453190</f>
        <v>2.31645319E9</v>
      </c>
      <c r="K13" s="36" t="n">
        <f>1540986190</f>
        <v>1.54098619E9</v>
      </c>
      <c r="L13" s="21" t="n">
        <f>1762057180</f>
        <v>1.76205718E9</v>
      </c>
      <c r="M13" s="36" t="n">
        <f>1214074180</f>
        <v>1.21407418E9</v>
      </c>
      <c r="N13" s="21" t="n">
        <f>4078510370</f>
        <v>4.07851037E9</v>
      </c>
      <c r="O13" s="36" t="n">
        <f>2755060370</f>
        <v>2.75506037E9</v>
      </c>
    </row>
    <row r="14" spans="1:15" ht="24.9" customHeight="1">
      <c r="A14" s="38"/>
      <c r="B14" s="62"/>
      <c r="C14" s="20" t="s">
        <v>17</v>
      </c>
      <c r="D14" s="21" t="n">
        <f>7499</f>
        <v>7499.0</v>
      </c>
      <c r="E14" s="36" t="n">
        <f>5143</f>
        <v>5143.0</v>
      </c>
      <c r="F14" s="21" t="n">
        <f>4418</f>
        <v>4418.0</v>
      </c>
      <c r="G14" s="36" t="n">
        <f>2567</f>
        <v>2567.0</v>
      </c>
      <c r="H14" s="21" t="n">
        <f>11917</f>
        <v>11917.0</v>
      </c>
      <c r="I14" s="36" t="n">
        <f>7710</f>
        <v>7710.0</v>
      </c>
      <c r="J14" s="21" t="n">
        <f>5955215220</f>
        <v>5.95521522E9</v>
      </c>
      <c r="K14" s="36" t="n">
        <f>4711203220</f>
        <v>4.71120322E9</v>
      </c>
      <c r="L14" s="21" t="n">
        <f>4272953480</f>
        <v>4.27295348E9</v>
      </c>
      <c r="M14" s="36" t="n">
        <f>3328895480</f>
        <v>3.32889548E9</v>
      </c>
      <c r="N14" s="21" t="n">
        <f>10228168700</f>
        <v>1.02281687E10</v>
      </c>
      <c r="O14" s="36" t="n">
        <f>8040098700</f>
        <v>8.0400987E9</v>
      </c>
    </row>
    <row r="15" spans="1:15" ht="24.9" customHeight="1">
      <c r="A15" s="38"/>
      <c r="B15" s="62"/>
      <c r="C15" s="24" t="s">
        <v>18</v>
      </c>
      <c r="D15" s="25" t="n">
        <f>14285</f>
        <v>14285.0</v>
      </c>
      <c r="E15" s="37" t="n">
        <f>7685</f>
        <v>7685.0</v>
      </c>
      <c r="F15" s="25" t="n">
        <f>9260</f>
        <v>9260.0</v>
      </c>
      <c r="G15" s="37" t="n">
        <f>4260</f>
        <v>4260.0</v>
      </c>
      <c r="H15" s="25" t="n">
        <f>23545</f>
        <v>23545.0</v>
      </c>
      <c r="I15" s="37" t="n">
        <f>11945</f>
        <v>11945.0</v>
      </c>
      <c r="J15" s="25" t="n">
        <f>10543916670</f>
        <v>1.054391667E10</v>
      </c>
      <c r="K15" s="37" t="n">
        <f>7445450670</f>
        <v>7.44545067E9</v>
      </c>
      <c r="L15" s="25" t="n">
        <f>6551745950</f>
        <v>6.55174595E9</v>
      </c>
      <c r="M15" s="37" t="n">
        <f>4613570950</f>
        <v>4.61357095E9</v>
      </c>
      <c r="N15" s="25" t="n">
        <f>17095662620</f>
        <v>1.709566262E10</v>
      </c>
      <c r="O15" s="37" t="n">
        <f>12059021620</f>
        <v>1.205902162E10</v>
      </c>
    </row>
    <row r="16" spans="1:15" ht="24.9" customHeight="1">
      <c r="A16" s="38"/>
      <c r="B16" s="61" t="s">
        <v>105</v>
      </c>
      <c r="C16" s="16" t="s">
        <v>15</v>
      </c>
      <c r="D16" s="17" t="n">
        <f>6044</f>
        <v>6044.0</v>
      </c>
      <c r="E16" s="35" t="n">
        <f>320</f>
        <v>320.0</v>
      </c>
      <c r="F16" s="17" t="n">
        <f>9472</f>
        <v>9472.0</v>
      </c>
      <c r="G16" s="35" t="n">
        <f>630</f>
        <v>630.0</v>
      </c>
      <c r="H16" s="17" t="n">
        <f>15516</f>
        <v>15516.0</v>
      </c>
      <c r="I16" s="35" t="n">
        <f>950</f>
        <v>950.0</v>
      </c>
      <c r="J16" s="17" t="n">
        <f>310687050</f>
        <v>3.1068705E8</v>
      </c>
      <c r="K16" s="35" t="n">
        <f>8061750</f>
        <v>8061750.0</v>
      </c>
      <c r="L16" s="17" t="n">
        <f>199710650</f>
        <v>1.9971065E8</v>
      </c>
      <c r="M16" s="35" t="n">
        <f>6365450</f>
        <v>6365450.0</v>
      </c>
      <c r="N16" s="17" t="n">
        <f>510397700</f>
        <v>5.103977E8</v>
      </c>
      <c r="O16" s="35" t="n">
        <f>14427200</f>
        <v>1.44272E7</v>
      </c>
    </row>
    <row r="17" spans="1:15" ht="24.9" customHeight="1">
      <c r="A17" s="38"/>
      <c r="B17" s="62"/>
      <c r="C17" s="20" t="s">
        <v>16</v>
      </c>
      <c r="D17" s="21" t="n">
        <f>6202</f>
        <v>6202.0</v>
      </c>
      <c r="E17" s="36" t="n">
        <f>460</f>
        <v>460.0</v>
      </c>
      <c r="F17" s="21" t="n">
        <f>8326</f>
        <v>8326.0</v>
      </c>
      <c r="G17" s="36" t="n">
        <f>380</f>
        <v>380.0</v>
      </c>
      <c r="H17" s="21" t="n">
        <f>14528</f>
        <v>14528.0</v>
      </c>
      <c r="I17" s="36" t="n">
        <f>840</f>
        <v>840.0</v>
      </c>
      <c r="J17" s="21" t="n">
        <f>159681600</f>
        <v>1.596816E8</v>
      </c>
      <c r="K17" s="36" t="n">
        <f>4877100</f>
        <v>4877100.0</v>
      </c>
      <c r="L17" s="21" t="n">
        <f>177209860</f>
        <v>1.7720986E8</v>
      </c>
      <c r="M17" s="36" t="n">
        <f>3191460</f>
        <v>3191460.0</v>
      </c>
      <c r="N17" s="21" t="n">
        <f>336891460</f>
        <v>3.3689146E8</v>
      </c>
      <c r="O17" s="36" t="n">
        <f>8068560</f>
        <v>8068560.0</v>
      </c>
    </row>
    <row r="18" spans="1:15" ht="24.9" customHeight="1">
      <c r="A18" s="38"/>
      <c r="B18" s="62"/>
      <c r="C18" s="20" t="s">
        <v>17</v>
      </c>
      <c r="D18" s="21" t="n">
        <f>4638</f>
        <v>4638.0</v>
      </c>
      <c r="E18" s="36" t="n">
        <f>390</f>
        <v>390.0</v>
      </c>
      <c r="F18" s="21" t="n">
        <f>7497</f>
        <v>7497.0</v>
      </c>
      <c r="G18" s="36" t="n">
        <f>710</f>
        <v>710.0</v>
      </c>
      <c r="H18" s="21" t="n">
        <f>12135</f>
        <v>12135.0</v>
      </c>
      <c r="I18" s="36" t="n">
        <f>1100</f>
        <v>1100.0</v>
      </c>
      <c r="J18" s="21" t="n">
        <f>184580060</f>
        <v>1.8458006E8</v>
      </c>
      <c r="K18" s="36" t="n">
        <f>6974260</f>
        <v>6974260.0</v>
      </c>
      <c r="L18" s="21" t="n">
        <f>163724420</f>
        <v>1.6372442E8</v>
      </c>
      <c r="M18" s="36" t="n">
        <f>6784820</f>
        <v>6784820.0</v>
      </c>
      <c r="N18" s="21" t="n">
        <f>348304480</f>
        <v>3.4830448E8</v>
      </c>
      <c r="O18" s="36" t="n">
        <f>13759080</f>
        <v>1.375908E7</v>
      </c>
    </row>
    <row r="19" spans="1:15" ht="24.9" customHeight="1">
      <c r="A19" s="38"/>
      <c r="B19" s="62"/>
      <c r="C19" s="24" t="s">
        <v>18</v>
      </c>
      <c r="D19" s="25" t="n">
        <f>16884</f>
        <v>16884.0</v>
      </c>
      <c r="E19" s="37" t="n">
        <f>1170</f>
        <v>1170.0</v>
      </c>
      <c r="F19" s="25" t="n">
        <f>25295</f>
        <v>25295.0</v>
      </c>
      <c r="G19" s="37" t="n">
        <f>1720</f>
        <v>1720.0</v>
      </c>
      <c r="H19" s="25" t="n">
        <f>42179</f>
        <v>42179.0</v>
      </c>
      <c r="I19" s="37" t="n">
        <f>2890</f>
        <v>2890.0</v>
      </c>
      <c r="J19" s="25" t="n">
        <f>654948710</f>
        <v>6.5494871E8</v>
      </c>
      <c r="K19" s="37" t="n">
        <f>19913110</f>
        <v>1.991311E7</v>
      </c>
      <c r="L19" s="25" t="n">
        <f>540644930</f>
        <v>5.4064493E8</v>
      </c>
      <c r="M19" s="37" t="n">
        <f>16341730</f>
        <v>1.634173E7</v>
      </c>
      <c r="N19" s="25" t="n">
        <f>1195593640</f>
        <v>1.19559364E9</v>
      </c>
      <c r="O19" s="37" t="n">
        <f>36254840</f>
        <v>3.625484E7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100</f>
        <v>100.0</v>
      </c>
      <c r="E21" s="36" t="n">
        <f>100</f>
        <v>100.0</v>
      </c>
      <c r="F21" s="21" t="n">
        <f>0</f>
        <v>0.0</v>
      </c>
      <c r="G21" s="36" t="n">
        <f>0</f>
        <v>0.0</v>
      </c>
      <c r="H21" s="21" t="n">
        <f>100</f>
        <v>100.0</v>
      </c>
      <c r="I21" s="36" t="n">
        <f>100</f>
        <v>100.0</v>
      </c>
      <c r="J21" s="21" t="n">
        <f>339000000</f>
        <v>3.39E8</v>
      </c>
      <c r="K21" s="36" t="n">
        <f>339000000</f>
        <v>3.39E8</v>
      </c>
      <c r="L21" s="21" t="n">
        <f>0</f>
        <v>0.0</v>
      </c>
      <c r="M21" s="36" t="n">
        <f>0</f>
        <v>0.0</v>
      </c>
      <c r="N21" s="21" t="n">
        <f>339000000</f>
        <v>3.39E8</v>
      </c>
      <c r="O21" s="36" t="n">
        <f>339000000</f>
        <v>3.39E8</v>
      </c>
    </row>
    <row r="22" spans="1:15" ht="24.9" customHeight="1">
      <c r="A22" s="38"/>
      <c r="B22" s="62"/>
      <c r="C22" s="20" t="s">
        <v>17</v>
      </c>
      <c r="D22" s="21" t="n">
        <f>1700</f>
        <v>1700.0</v>
      </c>
      <c r="E22" s="36" t="n">
        <f>1700</f>
        <v>1700.0</v>
      </c>
      <c r="F22" s="21" t="n">
        <f>100</f>
        <v>100.0</v>
      </c>
      <c r="G22" s="36" t="n">
        <f>100</f>
        <v>100.0</v>
      </c>
      <c r="H22" s="21" t="n">
        <f>1800</f>
        <v>1800.0</v>
      </c>
      <c r="I22" s="36" t="n">
        <f>1800</f>
        <v>1800.0</v>
      </c>
      <c r="J22" s="21" t="n">
        <f>980000000</f>
        <v>9.8E8</v>
      </c>
      <c r="K22" s="36" t="n">
        <f>980000000</f>
        <v>9.8E8</v>
      </c>
      <c r="L22" s="21" t="n">
        <f>1000000</f>
        <v>1000000.0</v>
      </c>
      <c r="M22" s="36" t="n">
        <f>1000000</f>
        <v>1000000.0</v>
      </c>
      <c r="N22" s="21" t="n">
        <f>981000000</f>
        <v>9.81E8</v>
      </c>
      <c r="O22" s="36" t="n">
        <f>981000000</f>
        <v>9.81E8</v>
      </c>
    </row>
    <row r="23" spans="1:15" ht="24.9" customHeight="1">
      <c r="A23" s="38"/>
      <c r="B23" s="62"/>
      <c r="C23" s="24" t="s">
        <v>18</v>
      </c>
      <c r="D23" s="25" t="n">
        <f>1800</f>
        <v>1800.0</v>
      </c>
      <c r="E23" s="37" t="n">
        <f>1800</f>
        <v>1800.0</v>
      </c>
      <c r="F23" s="25" t="n">
        <f>100</f>
        <v>100.0</v>
      </c>
      <c r="G23" s="37" t="n">
        <f>100</f>
        <v>100.0</v>
      </c>
      <c r="H23" s="25" t="n">
        <f>1900</f>
        <v>1900.0</v>
      </c>
      <c r="I23" s="37" t="n">
        <f>1900</f>
        <v>1900.0</v>
      </c>
      <c r="J23" s="25" t="n">
        <f>1319000000</f>
        <v>1.319E9</v>
      </c>
      <c r="K23" s="37" t="n">
        <f>1319000000</f>
        <v>1.319E9</v>
      </c>
      <c r="L23" s="25" t="n">
        <f>1000000</f>
        <v>1000000.0</v>
      </c>
      <c r="M23" s="37" t="n">
        <f>1000000</f>
        <v>1000000.0</v>
      </c>
      <c r="N23" s="25" t="n">
        <f>1320000000</f>
        <v>1.32E9</v>
      </c>
      <c r="O23" s="37" t="n">
        <f>1320000000</f>
        <v>1.32E9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0</f>
        <v>0.0</v>
      </c>
      <c r="G37" s="22" t="n">
        <f>0</f>
        <v>0.0</v>
      </c>
      <c r="H37" s="21" t="n">
        <f>0</f>
        <v>0.0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0</f>
        <v>0.0</v>
      </c>
      <c r="M37" s="22" t="n">
        <f>0</f>
        <v>0.0</v>
      </c>
      <c r="N37" s="21" t="n">
        <f>0</f>
        <v>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50</f>
        <v>50.0</v>
      </c>
      <c r="E38" s="36" t="n">
        <f>0</f>
        <v>0.0</v>
      </c>
      <c r="F38" s="21" t="n">
        <f>325</f>
        <v>325.0</v>
      </c>
      <c r="G38" s="36" t="n">
        <f>150</f>
        <v>150.0</v>
      </c>
      <c r="H38" s="21" t="n">
        <f>375</f>
        <v>375.0</v>
      </c>
      <c r="I38" s="36" t="n">
        <f>150</f>
        <v>150.0</v>
      </c>
      <c r="J38" s="21" t="n">
        <f>9000000</f>
        <v>9000000.0</v>
      </c>
      <c r="K38" s="36" t="n">
        <f>0</f>
        <v>0.0</v>
      </c>
      <c r="L38" s="21" t="n">
        <f>20150000</f>
        <v>2.015E7</v>
      </c>
      <c r="M38" s="36" t="n">
        <f>10250000</f>
        <v>1.025E7</v>
      </c>
      <c r="N38" s="21" t="n">
        <f>29150000</f>
        <v>2.915E7</v>
      </c>
      <c r="O38" s="36" t="n">
        <f>10250000</f>
        <v>1.025E7</v>
      </c>
    </row>
    <row r="39" spans="1:15" ht="24.9" customHeight="1">
      <c r="A39" s="38"/>
      <c r="B39" s="62"/>
      <c r="C39" s="24" t="s">
        <v>18</v>
      </c>
      <c r="D39" s="25" t="n">
        <f>50</f>
        <v>50.0</v>
      </c>
      <c r="E39" s="37" t="n">
        <f>0</f>
        <v>0.0</v>
      </c>
      <c r="F39" s="25" t="n">
        <f>325</f>
        <v>325.0</v>
      </c>
      <c r="G39" s="37" t="n">
        <f>150</f>
        <v>150.0</v>
      </c>
      <c r="H39" s="25" t="n">
        <f>375</f>
        <v>375.0</v>
      </c>
      <c r="I39" s="37" t="n">
        <f>150</f>
        <v>150.0</v>
      </c>
      <c r="J39" s="25" t="n">
        <f>9000000</f>
        <v>9000000.0</v>
      </c>
      <c r="K39" s="37" t="n">
        <f>0</f>
        <v>0.0</v>
      </c>
      <c r="L39" s="25" t="n">
        <f>20150000</f>
        <v>2.015E7</v>
      </c>
      <c r="M39" s="37" t="n">
        <f>10250000</f>
        <v>1.025E7</v>
      </c>
      <c r="N39" s="25" t="n">
        <f>29150000</f>
        <v>2.915E7</v>
      </c>
      <c r="O39" s="37" t="n">
        <f>10250000</f>
        <v>1.025E7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793</f>
        <v>793.0</v>
      </c>
      <c r="E41" s="36" t="n">
        <f>0</f>
        <v>0.0</v>
      </c>
      <c r="F41" s="21" t="n">
        <f>10655</f>
        <v>10655.0</v>
      </c>
      <c r="G41" s="36" t="n">
        <f>0</f>
        <v>0.0</v>
      </c>
      <c r="H41" s="21" t="n">
        <f>11448</f>
        <v>11448.0</v>
      </c>
      <c r="I41" s="36" t="n">
        <f>0</f>
        <v>0.0</v>
      </c>
      <c r="J41" s="21" t="n">
        <f>5716810</f>
        <v>5716810.0</v>
      </c>
      <c r="K41" s="36" t="n">
        <f>0</f>
        <v>0.0</v>
      </c>
      <c r="L41" s="21" t="n">
        <f>10085590</f>
        <v>1.008559E7</v>
      </c>
      <c r="M41" s="36" t="n">
        <f>0</f>
        <v>0.0</v>
      </c>
      <c r="N41" s="21" t="n">
        <f>15802400</f>
        <v>1.58024E7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1765</f>
        <v>1765.0</v>
      </c>
      <c r="E42" s="36" t="n">
        <f>700</f>
        <v>700.0</v>
      </c>
      <c r="F42" s="21" t="n">
        <f>5578</f>
        <v>5578.0</v>
      </c>
      <c r="G42" s="36" t="n">
        <f>0</f>
        <v>0.0</v>
      </c>
      <c r="H42" s="21" t="n">
        <f>7343</f>
        <v>7343.0</v>
      </c>
      <c r="I42" s="36" t="n">
        <f>700</f>
        <v>700.0</v>
      </c>
      <c r="J42" s="21" t="n">
        <f>63612330</f>
        <v>6.361233E7</v>
      </c>
      <c r="K42" s="36" t="n">
        <f>18550000</f>
        <v>1.855E7</v>
      </c>
      <c r="L42" s="21" t="n">
        <f>8995230</f>
        <v>8995230.0</v>
      </c>
      <c r="M42" s="36" t="n">
        <f>0</f>
        <v>0.0</v>
      </c>
      <c r="N42" s="21" t="n">
        <f>72607560</f>
        <v>7.260756E7</v>
      </c>
      <c r="O42" s="36" t="n">
        <f>18550000</f>
        <v>1.855E7</v>
      </c>
    </row>
    <row r="43" spans="1:15" ht="24.9" customHeight="1">
      <c r="A43" s="38"/>
      <c r="B43" s="62"/>
      <c r="C43" s="24" t="s">
        <v>18</v>
      </c>
      <c r="D43" s="25" t="n">
        <f>2558</f>
        <v>2558.0</v>
      </c>
      <c r="E43" s="37" t="n">
        <f>700</f>
        <v>700.0</v>
      </c>
      <c r="F43" s="25" t="n">
        <f>16233</f>
        <v>16233.0</v>
      </c>
      <c r="G43" s="37" t="n">
        <f>0</f>
        <v>0.0</v>
      </c>
      <c r="H43" s="25" t="n">
        <f>18791</f>
        <v>18791.0</v>
      </c>
      <c r="I43" s="37" t="n">
        <f>700</f>
        <v>700.0</v>
      </c>
      <c r="J43" s="25" t="n">
        <f>69329140</f>
        <v>6.932914E7</v>
      </c>
      <c r="K43" s="37" t="n">
        <f>18550000</f>
        <v>1.855E7</v>
      </c>
      <c r="L43" s="25" t="n">
        <f>19080820</f>
        <v>1.908082E7</v>
      </c>
      <c r="M43" s="37" t="n">
        <f>0</f>
        <v>0.0</v>
      </c>
      <c r="N43" s="25" t="n">
        <f>88409960</f>
        <v>8.840996E7</v>
      </c>
      <c r="O43" s="37" t="n">
        <f>18550000</f>
        <v>1.855E7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