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<sst xmlns="http://schemas.openxmlformats.org/spreadsheetml/2006/main" count="528" uniqueCount="129">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</sst>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DATE(2026,10,13)</f>
        <v>46308.0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DATE(2026,10,13)</f>
        <v>46308.0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1318295.0</f>
        <v>1318295.0</v>
      </c>
      <c r="E12" s="18" t="n">
        <f>64048.0</f>
        <v>64048.0</v>
      </c>
      <c r="F12" s="19" t="n">
        <f>1.0</f>
        <v>1.0</v>
      </c>
      <c r="G12" s="17" t="n">
        <f>7648410727200.0</f>
        <v>7.6484107272E12</v>
      </c>
      <c r="H12" s="18" t="n">
        <f>547293853400.0</f>
        <v>5.472938534E11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495851.0</f>
        <v>495851.0</v>
      </c>
      <c r="E13" s="22" t="n">
        <f>19597.0</f>
        <v>19597.0</v>
      </c>
      <c r="F13" s="23" t="n">
        <f>1.0</f>
        <v>1.0</v>
      </c>
      <c r="G13" s="21" t="n">
        <f>4707741833935.0</f>
        <v>4.707741833935E12</v>
      </c>
      <c r="H13" s="22" t="n">
        <f>250378742310.0</f>
        <v>2.5037874231E11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467663.0</f>
        <v>467663.0</v>
      </c>
      <c r="E14" s="22" t="n">
        <f>34772.0</f>
        <v>34772.0</v>
      </c>
      <c r="F14" s="23" t="n">
        <f>1.0</f>
        <v>1.0</v>
      </c>
      <c r="G14" s="21" t="n">
        <f>5744327617812.0</f>
        <v>5.744327617812E12</v>
      </c>
      <c r="H14" s="22" t="n">
        <f>899307311287.0</f>
        <v>8.99307311287E11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2281809.0</f>
        <v>2281809.0</v>
      </c>
      <c r="E15" s="26" t="n">
        <f>118417.0</f>
        <v>118417.0</v>
      </c>
      <c r="F15" s="27" t="n">
        <f>1.0</f>
        <v>1.0</v>
      </c>
      <c r="G15" s="25" t="n">
        <f>18100480178947.0</f>
        <v>1.8100480178947E13</v>
      </c>
      <c r="H15" s="26" t="n">
        <f>1696979906997.0</f>
        <v>1.696979906997E12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14343.0</f>
        <v>14343.0</v>
      </c>
      <c r="E16" s="18" t="n">
        <f>107.0</f>
        <v>107.0</v>
      </c>
      <c r="F16" s="19" t="n">
        <f>0.011</f>
        <v>0.011</v>
      </c>
      <c r="G16" s="17" t="n">
        <f>1747452531250.0</f>
        <v>1.74745253125E12</v>
      </c>
      <c r="H16" s="18" t="n">
        <f>13369870000.0</f>
        <v>1.336987E10</v>
      </c>
      <c r="I16" s="19" t="n">
        <f>0.228</f>
        <v>0.228</v>
      </c>
    </row>
    <row r="17" spans="1:9" ht="24.9" customHeight="1">
      <c r="A17" s="41"/>
      <c r="B17" s="39"/>
      <c r="C17" s="20" t="s">
        <v>16</v>
      </c>
      <c r="D17" s="21" t="n">
        <f>15576.0</f>
        <v>15576.0</v>
      </c>
      <c r="E17" s="22" t="n">
        <f>367.0</f>
        <v>367.0</v>
      </c>
      <c r="F17" s="23" t="n">
        <f>0.031</f>
        <v>0.031</v>
      </c>
      <c r="G17" s="21" t="n">
        <f>1661030904625.0</f>
        <v>1.661030904625E12</v>
      </c>
      <c r="H17" s="22" t="n">
        <f>45820585000.0</f>
        <v>4.5820585E10</v>
      </c>
      <c r="I17" s="23" t="n">
        <f>0.353</f>
        <v>0.353</v>
      </c>
    </row>
    <row r="18" spans="1:9" ht="24.9" customHeight="1">
      <c r="A18" s="41"/>
      <c r="B18" s="39"/>
      <c r="C18" s="20" t="s">
        <v>17</v>
      </c>
      <c r="D18" s="21" t="n">
        <f>16524.0</f>
        <v>16524.0</v>
      </c>
      <c r="E18" s="22" t="n">
        <f>1358.0</f>
        <v>1358.0</v>
      </c>
      <c r="F18" s="23" t="n">
        <f>0.035</f>
        <v>0.035</v>
      </c>
      <c r="G18" s="21" t="n">
        <f>1809697873125.0</f>
        <v>1.809697873125E12</v>
      </c>
      <c r="H18" s="22" t="n">
        <f>155676307000.0</f>
        <v>1.55676307E11</v>
      </c>
      <c r="I18" s="23" t="n">
        <f>0.315</f>
        <v>0.315</v>
      </c>
    </row>
    <row r="19" spans="1:9" ht="24.9" customHeight="1">
      <c r="A19" s="41"/>
      <c r="B19" s="39"/>
      <c r="C19" s="24" t="s">
        <v>18</v>
      </c>
      <c r="D19" s="25" t="n">
        <f>46443.0</f>
        <v>46443.0</v>
      </c>
      <c r="E19" s="26" t="n">
        <f>1832.0</f>
        <v>1832.0</v>
      </c>
      <c r="F19" s="27" t="n">
        <f>0.02</f>
        <v>0.02</v>
      </c>
      <c r="G19" s="25" t="n">
        <f>5218181309000.0</f>
        <v>5.218181309E12</v>
      </c>
      <c r="H19" s="26" t="n">
        <f>214866762000.0</f>
        <v>2.14866762E11</v>
      </c>
      <c r="I19" s="27" t="n">
        <f>0.288</f>
        <v>0.288</v>
      </c>
    </row>
    <row r="20" spans="1:9" ht="24.9" customHeight="1">
      <c r="A20" s="41"/>
      <c r="B20" s="39" t="s">
        <v>21</v>
      </c>
      <c r="C20" s="16" t="s">
        <v>15</v>
      </c>
      <c r="D20" s="17" t="n">
        <f>1283837.0</f>
        <v>1283837.0</v>
      </c>
      <c r="E20" s="18" t="n">
        <f>63941.0</f>
        <v>63941.0</v>
      </c>
      <c r="F20" s="19" t="n">
        <f>0.974</f>
        <v>0.974</v>
      </c>
      <c r="G20" s="17" t="n">
        <f>5723266335250.0</f>
        <v>5.72326633525E12</v>
      </c>
      <c r="H20" s="18" t="n">
        <f>533923983400.0</f>
        <v>5.339239834E11</v>
      </c>
      <c r="I20" s="19" t="n">
        <f>0.748</f>
        <v>0.748</v>
      </c>
    </row>
    <row r="21" spans="1:9" ht="24.9" customHeight="1">
      <c r="A21" s="41"/>
      <c r="B21" s="39"/>
      <c r="C21" s="20" t="s">
        <v>16</v>
      </c>
      <c r="D21" s="21" t="n">
        <f>473928.0</f>
        <v>473928.0</v>
      </c>
      <c r="E21" s="22" t="n">
        <f>19230.0</f>
        <v>19230.0</v>
      </c>
      <c r="F21" s="23" t="n">
        <f>0.956</f>
        <v>0.956</v>
      </c>
      <c r="G21" s="21" t="n">
        <f>2978224920360.0</f>
        <v>2.97822492036E12</v>
      </c>
      <c r="H21" s="22" t="n">
        <f>204558157310.0</f>
        <v>2.0455815731E11</v>
      </c>
      <c r="I21" s="23" t="n">
        <f>0.633</f>
        <v>0.633</v>
      </c>
    </row>
    <row r="22" spans="1:9" ht="24.9" customHeight="1">
      <c r="A22" s="41"/>
      <c r="B22" s="39"/>
      <c r="C22" s="20" t="s">
        <v>17</v>
      </c>
      <c r="D22" s="21" t="n">
        <f>439126.0</f>
        <v>439126.0</v>
      </c>
      <c r="E22" s="22" t="n">
        <f>33374.0</f>
        <v>33374.0</v>
      </c>
      <c r="F22" s="23" t="n">
        <f>0.939</f>
        <v>0.939</v>
      </c>
      <c r="G22" s="21" t="n">
        <f>3845382630737.0</f>
        <v>3.845382630737E12</v>
      </c>
      <c r="H22" s="22" t="n">
        <f>743421899487.0</f>
        <v>7.43421899487E11</v>
      </c>
      <c r="I22" s="23" t="n">
        <f>0.669</f>
        <v>0.669</v>
      </c>
    </row>
    <row r="23" spans="1:9" ht="24.9" customHeight="1">
      <c r="A23" s="41"/>
      <c r="B23" s="39"/>
      <c r="C23" s="24" t="s">
        <v>18</v>
      </c>
      <c r="D23" s="25" t="n">
        <f>2196891.0</f>
        <v>2196891.0</v>
      </c>
      <c r="E23" s="26" t="n">
        <f>116545.0</f>
        <v>116545.0</v>
      </c>
      <c r="F23" s="27" t="n">
        <f>0.963</f>
        <v>0.963</v>
      </c>
      <c r="G23" s="25" t="n">
        <f>12546873886347.0</f>
        <v>1.2546873886347E13</v>
      </c>
      <c r="H23" s="26" t="n">
        <f>1481904040197.0</f>
        <v>1.481904040197E12</v>
      </c>
      <c r="I23" s="27" t="n">
        <f>0.693</f>
        <v>0.693</v>
      </c>
    </row>
    <row r="24" spans="1:9" ht="24.9" customHeight="1">
      <c r="A24" s="41"/>
      <c r="B24" s="39" t="s">
        <v>22</v>
      </c>
      <c r="C24" s="16" t="s">
        <v>15</v>
      </c>
      <c r="D24" s="17" t="n">
        <f>19376.0</f>
        <v>19376.0</v>
      </c>
      <c r="E24" s="18" t="n">
        <f>0.0</f>
        <v>0.0</v>
      </c>
      <c r="F24" s="19" t="n">
        <f>0.015</f>
        <v>0.015</v>
      </c>
      <c r="G24" s="17" t="n">
        <f>174241636700.0</f>
        <v>1.742416367E11</v>
      </c>
      <c r="H24" s="18" t="n">
        <f>0.0</f>
        <v>0.0</v>
      </c>
      <c r="I24" s="19" t="n">
        <f>0.023</f>
        <v>0.023</v>
      </c>
    </row>
    <row r="25" spans="1:9" ht="24.9" customHeight="1">
      <c r="A25" s="41"/>
      <c r="B25" s="39"/>
      <c r="C25" s="20" t="s">
        <v>16</v>
      </c>
      <c r="D25" s="21" t="n">
        <f>6183.0</f>
        <v>6183.0</v>
      </c>
      <c r="E25" s="22" t="n">
        <f>0.0</f>
        <v>0.0</v>
      </c>
      <c r="F25" s="23" t="n">
        <f>0.012</f>
        <v>0.012</v>
      </c>
      <c r="G25" s="21" t="n">
        <f>67702987450.0</f>
        <v>6.770298745E10</v>
      </c>
      <c r="H25" s="22" t="n">
        <f>0.0</f>
        <v>0.0</v>
      </c>
      <c r="I25" s="23" t="n">
        <f>0.014</f>
        <v>0.014</v>
      </c>
    </row>
    <row r="26" spans="1:9" ht="24.9" customHeight="1">
      <c r="A26" s="41"/>
      <c r="B26" s="39"/>
      <c r="C26" s="20" t="s">
        <v>17</v>
      </c>
      <c r="D26" s="21" t="n">
        <f>7628.0</f>
        <v>7628.0</v>
      </c>
      <c r="E26" s="22" t="n">
        <f>0.0</f>
        <v>0.0</v>
      </c>
      <c r="F26" s="23" t="n">
        <f>0.016</f>
        <v>0.016</v>
      </c>
      <c r="G26" s="21" t="n">
        <f>68427574150.0</f>
        <v>6.842757415E10</v>
      </c>
      <c r="H26" s="22" t="n">
        <f>0.0</f>
        <v>0.0</v>
      </c>
      <c r="I26" s="23" t="n">
        <f>0.012</f>
        <v>0.012</v>
      </c>
    </row>
    <row r="27" spans="1:9" ht="24.9" customHeight="1">
      <c r="A27" s="42"/>
      <c r="B27" s="39"/>
      <c r="C27" s="24" t="s">
        <v>18</v>
      </c>
      <c r="D27" s="25" t="n">
        <f>33187.0</f>
        <v>33187.0</v>
      </c>
      <c r="E27" s="26" t="n">
        <f>0.0</f>
        <v>0.0</v>
      </c>
      <c r="F27" s="27" t="n">
        <f>0.015</f>
        <v>0.015</v>
      </c>
      <c r="G27" s="25" t="n">
        <f>310372198300.0</f>
        <v>3.103721983E11</v>
      </c>
      <c r="H27" s="26" t="n">
        <f>0.0</f>
        <v>0.0</v>
      </c>
      <c r="I27" s="27" t="n">
        <f>0.017</f>
        <v>0.017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739.0</f>
        <v>739.0</v>
      </c>
      <c r="E28" s="18" t="n">
        <f>0.0</f>
        <v>0.0</v>
      </c>
      <c r="F28" s="19" t="n">
        <f>0.001</f>
        <v>0.001</v>
      </c>
      <c r="G28" s="17" t="n">
        <f>3450224000.0</f>
        <v>3.450224E9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164.0</f>
        <v>164.0</v>
      </c>
      <c r="E29" s="22" t="n">
        <f>0.0</f>
        <v>0.0</v>
      </c>
      <c r="F29" s="23" t="n">
        <f>0.0</f>
        <v>0.0</v>
      </c>
      <c r="G29" s="21" t="n">
        <f>783021500.0</f>
        <v>7.830215E8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4385.0</f>
        <v>4385.0</v>
      </c>
      <c r="E30" s="22" t="n">
        <f>40.0</f>
        <v>40.0</v>
      </c>
      <c r="F30" s="23" t="n">
        <f>0.009</f>
        <v>0.009</v>
      </c>
      <c r="G30" s="21" t="n">
        <f>20819539800.0</f>
        <v>2.08195398E10</v>
      </c>
      <c r="H30" s="22" t="n">
        <f>209104800.0</f>
        <v>2.091048E8</v>
      </c>
      <c r="I30" s="23" t="n">
        <f>0.004</f>
        <v>0.004</v>
      </c>
    </row>
    <row r="31" spans="1:9" ht="24.9" customHeight="1">
      <c r="A31" s="38"/>
      <c r="B31" s="39"/>
      <c r="C31" s="24" t="s">
        <v>18</v>
      </c>
      <c r="D31" s="25" t="n">
        <f>5288.0</f>
        <v>5288.0</v>
      </c>
      <c r="E31" s="26" t="n">
        <f>40.0</f>
        <v>40.0</v>
      </c>
      <c r="F31" s="27" t="n">
        <f>0.002</f>
        <v>0.002</v>
      </c>
      <c r="G31" s="25" t="n">
        <f>25052785300.0</f>
        <v>2.50527853E10</v>
      </c>
      <c r="H31" s="26" t="n">
        <f>209104800.0</f>
        <v>2.091048E8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46308.0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46308.0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37047</f>
        <v>37047.0</v>
      </c>
      <c r="E11" s="18" t="n">
        <f>4439</f>
        <v>4439.0</v>
      </c>
      <c r="F11" s="19" t="n">
        <f>1</f>
        <v>1.0</v>
      </c>
      <c r="G11" s="17" t="n">
        <f>5049302742</f>
        <v>5.049302742E9</v>
      </c>
      <c r="H11" s="18" t="n">
        <f>2349221142</f>
        <v>2.349221142E9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30404</f>
        <v>30404.0</v>
      </c>
      <c r="E12" s="22" t="n">
        <f>3756</f>
        <v>3756.0</v>
      </c>
      <c r="F12" s="23" t="n">
        <f>1</f>
        <v>1.0</v>
      </c>
      <c r="G12" s="21" t="n">
        <f>5912942069</f>
        <v>5.912942069E9</v>
      </c>
      <c r="H12" s="22" t="n">
        <f>2633100094</f>
        <v>2.633100094E9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38668</f>
        <v>38668.0</v>
      </c>
      <c r="E13" s="22" t="n">
        <f>14621</f>
        <v>14621.0</v>
      </c>
      <c r="F13" s="23" t="n">
        <f>1</f>
        <v>1.0</v>
      </c>
      <c r="G13" s="21" t="n">
        <f>15787690745</f>
        <v>1.5787690745E10</v>
      </c>
      <c r="H13" s="22" t="n">
        <f>12797225320</f>
        <v>1.279722532E10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106119</f>
        <v>106119.0</v>
      </c>
      <c r="E14" s="26" t="n">
        <f>22816</f>
        <v>22816.0</v>
      </c>
      <c r="F14" s="27" t="n">
        <f>1</f>
        <v>1.0</v>
      </c>
      <c r="G14" s="25" t="n">
        <f>26749935556</f>
        <v>2.6749935556E10</v>
      </c>
      <c r="H14" s="26" t="n">
        <f>17779546556</f>
        <v>1.7779546556E10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60</f>
        <v>60.0</v>
      </c>
      <c r="E15" s="18" t="n">
        <f>0</f>
        <v>0.0</v>
      </c>
      <c r="F15" s="19" t="n">
        <f>0.002</f>
        <v>0.002</v>
      </c>
      <c r="G15" s="17" t="n">
        <f>13300000</f>
        <v>1.33E7</v>
      </c>
      <c r="H15" s="18" t="n">
        <f>0</f>
        <v>0.0</v>
      </c>
      <c r="I15" s="19" t="n">
        <f>0.003</f>
        <v>0.003</v>
      </c>
    </row>
    <row r="16" spans="1:9" ht="24.9" customHeight="1">
      <c r="A16" s="41"/>
      <c r="B16" s="39"/>
      <c r="C16" s="20" t="s">
        <v>16</v>
      </c>
      <c r="D16" s="21" t="n">
        <f>12</f>
        <v>12.0</v>
      </c>
      <c r="E16" s="22" t="n">
        <f>0</f>
        <v>0.0</v>
      </c>
      <c r="F16" s="23" t="n">
        <f>0</f>
        <v>0.0</v>
      </c>
      <c r="G16" s="21" t="n">
        <f>5400000</f>
        <v>5400000.0</v>
      </c>
      <c r="H16" s="22" t="n">
        <f>0</f>
        <v>0.0</v>
      </c>
      <c r="I16" s="23" t="n">
        <f>0.001</f>
        <v>0.001</v>
      </c>
    </row>
    <row r="17" spans="1:9" ht="24.9" customHeight="1">
      <c r="A17" s="41"/>
      <c r="B17" s="39"/>
      <c r="C17" s="20" t="s">
        <v>17</v>
      </c>
      <c r="D17" s="21" t="n">
        <f>89</f>
        <v>89.0</v>
      </c>
      <c r="E17" s="22" t="n">
        <f>0</f>
        <v>0.0</v>
      </c>
      <c r="F17" s="23" t="n">
        <f>0.002</f>
        <v>0.002</v>
      </c>
      <c r="G17" s="21" t="n">
        <f>9790000</f>
        <v>9790000.0</v>
      </c>
      <c r="H17" s="22" t="n">
        <f>0</f>
        <v>0.0</v>
      </c>
      <c r="I17" s="23" t="n">
        <f>0.001</f>
        <v>0.001</v>
      </c>
    </row>
    <row r="18" spans="1:9" ht="24.9" customHeight="1">
      <c r="A18" s="41"/>
      <c r="B18" s="39"/>
      <c r="C18" s="24" t="s">
        <v>18</v>
      </c>
      <c r="D18" s="25" t="n">
        <f>161</f>
        <v>161.0</v>
      </c>
      <c r="E18" s="26" t="n">
        <f>0</f>
        <v>0.0</v>
      </c>
      <c r="F18" s="27" t="n">
        <f>0.002</f>
        <v>0.002</v>
      </c>
      <c r="G18" s="25" t="n">
        <f>28490000</f>
        <v>2.849E7</v>
      </c>
      <c r="H18" s="26" t="n">
        <f>0</f>
        <v>0.0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36987</f>
        <v>36987.0</v>
      </c>
      <c r="E19" s="18" t="n">
        <f>4439</f>
        <v>4439.0</v>
      </c>
      <c r="F19" s="19" t="n">
        <f>0.998</f>
        <v>0.998</v>
      </c>
      <c r="G19" s="17" t="n">
        <f>5036002742</f>
        <v>5.036002742E9</v>
      </c>
      <c r="H19" s="18" t="n">
        <f>2349221142</f>
        <v>2.349221142E9</v>
      </c>
      <c r="I19" s="19" t="n">
        <f>0.997</f>
        <v>0.997</v>
      </c>
    </row>
    <row r="20" spans="1:9" ht="24.9" customHeight="1">
      <c r="A20" s="41"/>
      <c r="B20" s="39"/>
      <c r="C20" s="20" t="s">
        <v>16</v>
      </c>
      <c r="D20" s="21" t="n">
        <f>25066</f>
        <v>25066.0</v>
      </c>
      <c r="E20" s="22" t="n">
        <f>3756</f>
        <v>3756.0</v>
      </c>
      <c r="F20" s="23" t="n">
        <f>0.824</f>
        <v>0.824</v>
      </c>
      <c r="G20" s="21" t="n">
        <f>5868943194</f>
        <v>5.868943194E9</v>
      </c>
      <c r="H20" s="22" t="n">
        <f>2633100094</f>
        <v>2.633100094E9</v>
      </c>
      <c r="I20" s="23" t="n">
        <f>0.993</f>
        <v>0.993</v>
      </c>
    </row>
    <row r="21" spans="1:9" ht="24.9" customHeight="1">
      <c r="A21" s="41"/>
      <c r="B21" s="39"/>
      <c r="C21" s="20" t="s">
        <v>17</v>
      </c>
      <c r="D21" s="21" t="n">
        <f>35292</f>
        <v>35292.0</v>
      </c>
      <c r="E21" s="22" t="n">
        <f>14621</f>
        <v>14621.0</v>
      </c>
      <c r="F21" s="23" t="n">
        <f>0.913</f>
        <v>0.913</v>
      </c>
      <c r="G21" s="21" t="n">
        <f>15706407020</f>
        <v>1.570640702E10</v>
      </c>
      <c r="H21" s="22" t="n">
        <f>12797225320</f>
        <v>1.279722532E10</v>
      </c>
      <c r="I21" s="23" t="n">
        <f>0.995</f>
        <v>0.995</v>
      </c>
    </row>
    <row r="22" spans="1:9" ht="24.9" customHeight="1">
      <c r="A22" s="41"/>
      <c r="B22" s="39"/>
      <c r="C22" s="24" t="s">
        <v>18</v>
      </c>
      <c r="D22" s="25" t="n">
        <f>97345</f>
        <v>97345.0</v>
      </c>
      <c r="E22" s="26" t="n">
        <f>22816</f>
        <v>22816.0</v>
      </c>
      <c r="F22" s="27" t="n">
        <f>0.917</f>
        <v>0.917</v>
      </c>
      <c r="G22" s="25" t="n">
        <f>26611352956</f>
        <v>2.6611352956E10</v>
      </c>
      <c r="H22" s="26" t="n">
        <f>17779546556</f>
        <v>1.7779546556E10</v>
      </c>
      <c r="I22" s="27" t="n">
        <f>0.995</f>
        <v>0.995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5326</f>
        <v>5326.0</v>
      </c>
      <c r="E24" s="22" t="n">
        <f>0</f>
        <v>0.0</v>
      </c>
      <c r="F24" s="23" t="n">
        <f>0.175</f>
        <v>0.175</v>
      </c>
      <c r="G24" s="21" t="n">
        <f>38598875</f>
        <v>3.8598875E7</v>
      </c>
      <c r="H24" s="22" t="n">
        <f>0</f>
        <v>0.0</v>
      </c>
      <c r="I24" s="23" t="n">
        <f>0.007</f>
        <v>0.007</v>
      </c>
    </row>
    <row r="25" spans="1:9" ht="24.9" customHeight="1">
      <c r="A25" s="41"/>
      <c r="B25" s="39"/>
      <c r="C25" s="20" t="s">
        <v>17</v>
      </c>
      <c r="D25" s="21" t="n">
        <f>3287</f>
        <v>3287.0</v>
      </c>
      <c r="E25" s="22" t="n">
        <f>0</f>
        <v>0.0</v>
      </c>
      <c r="F25" s="23" t="n">
        <f>0.085</f>
        <v>0.085</v>
      </c>
      <c r="G25" s="21" t="n">
        <f>71493725</f>
        <v>7.1493725E7</v>
      </c>
      <c r="H25" s="22" t="n">
        <f>0</f>
        <v>0.0</v>
      </c>
      <c r="I25" s="23" t="n">
        <f>0.005</f>
        <v>0.005</v>
      </c>
    </row>
    <row r="26" spans="1:9" ht="24.9" customHeight="1">
      <c r="A26" s="41"/>
      <c r="B26" s="39"/>
      <c r="C26" s="24" t="s">
        <v>18</v>
      </c>
      <c r="D26" s="25" t="n">
        <f>8613</f>
        <v>8613.0</v>
      </c>
      <c r="E26" s="26" t="n">
        <f>0</f>
        <v>0.0</v>
      </c>
      <c r="F26" s="27" t="n">
        <f>0.081</f>
        <v>0.081</v>
      </c>
      <c r="G26" s="25" t="n">
        <f>110092600</f>
        <v>1.100926E8</v>
      </c>
      <c r="H26" s="26" t="n">
        <f>0</f>
        <v>0.0</v>
      </c>
      <c r="I26" s="27" t="n">
        <f>0.004</f>
        <v>0.004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46308.0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46308.0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14640.0</v>
      </c>
      <c r="F12" s="18" t="n">
        <f>1491</f>
        <v>1491.0</v>
      </c>
      <c r="G12" s="17" t="n">
        <v>1.0108841825E12</v>
      </c>
      <c r="H12" s="18" t="n">
        <f>103556032500</f>
        <v>1.035560325E11</v>
      </c>
    </row>
    <row r="13" spans="1:8" ht="24.9" customHeight="1">
      <c r="A13" s="51"/>
      <c r="B13" s="57"/>
      <c r="C13" s="39"/>
      <c r="D13" s="20" t="s">
        <v>16</v>
      </c>
      <c r="E13" s="21" t="n">
        <v>10932.0</v>
      </c>
      <c r="F13" s="22" t="n">
        <f>1102</f>
        <v>1102.0</v>
      </c>
      <c r="G13" s="21" t="n">
        <v>7.410617157E11</v>
      </c>
      <c r="H13" s="22" t="n">
        <f>75573635700</f>
        <v>7.55736357E10</v>
      </c>
    </row>
    <row r="14" spans="1:8" ht="24.9" customHeight="1">
      <c r="A14" s="51"/>
      <c r="B14" s="57"/>
      <c r="C14" s="39"/>
      <c r="D14" s="20" t="s">
        <v>17</v>
      </c>
      <c r="E14" s="21" t="n">
        <v>18061.0</v>
      </c>
      <c r="F14" s="22" t="n">
        <f>4225</f>
        <v>4225.0</v>
      </c>
      <c r="G14" s="21" t="n">
        <v>1.224333405385E12</v>
      </c>
      <c r="H14" s="22" t="n">
        <f>286711920385</f>
        <v>2.86711920385E11</v>
      </c>
    </row>
    <row r="15" spans="1:8" ht="24.9" customHeight="1">
      <c r="A15" s="51"/>
      <c r="B15" s="57"/>
      <c r="C15" s="39"/>
      <c r="D15" s="24" t="s">
        <v>18</v>
      </c>
      <c r="E15" s="25" t="n">
        <v>43633.0</v>
      </c>
      <c r="F15" s="26" t="n">
        <f>6818</f>
        <v>6818.0</v>
      </c>
      <c r="G15" s="25" t="n">
        <v>2.976279303585E12</v>
      </c>
      <c r="H15" s="26" t="n">
        <f>465841588585</f>
        <v>4.65841588585E11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457909.0</v>
      </c>
      <c r="F16" s="18" t="n">
        <f>61629</f>
        <v>61629.0</v>
      </c>
      <c r="G16" s="17" t="n">
        <v>3.16066085525E12</v>
      </c>
      <c r="H16" s="18" t="n">
        <f>425443145250</f>
        <v>4.2544314525E11</v>
      </c>
    </row>
    <row r="17" spans="1:8" ht="24.9" customHeight="1">
      <c r="A17" s="51"/>
      <c r="B17" s="57"/>
      <c r="C17" s="39"/>
      <c r="D17" s="20" t="s">
        <v>16</v>
      </c>
      <c r="E17" s="21" t="n">
        <v>185821.0</v>
      </c>
      <c r="F17" s="22" t="n">
        <f>17670</f>
        <v>17670.0</v>
      </c>
      <c r="G17" s="21" t="n">
        <v>1.25819756472E12</v>
      </c>
      <c r="H17" s="22" t="n">
        <f>119621857220</f>
        <v>1.1962185722E11</v>
      </c>
    </row>
    <row r="18" spans="1:8" ht="24.9" customHeight="1">
      <c r="A18" s="51"/>
      <c r="B18" s="57"/>
      <c r="C18" s="39"/>
      <c r="D18" s="20" t="s">
        <v>17</v>
      </c>
      <c r="E18" s="21" t="n">
        <v>173637.0</v>
      </c>
      <c r="F18" s="22" t="n">
        <f>19577</f>
        <v>19577.0</v>
      </c>
      <c r="G18" s="21" t="n">
        <v>1.175883173932E12</v>
      </c>
      <c r="H18" s="22" t="n">
        <f>132775824432</f>
        <v>1.32775824432E11</v>
      </c>
    </row>
    <row r="19" spans="1:8" ht="24.9" customHeight="1">
      <c r="A19" s="51"/>
      <c r="B19" s="57"/>
      <c r="C19" s="39"/>
      <c r="D19" s="24" t="s">
        <v>18</v>
      </c>
      <c r="E19" s="25" t="n">
        <v>817367.0</v>
      </c>
      <c r="F19" s="26" t="n">
        <f>98876</f>
        <v>98876.0</v>
      </c>
      <c r="G19" s="25" t="n">
        <v>5.594741593902E12</v>
      </c>
      <c r="H19" s="26" t="n">
        <f>677840826902</f>
        <v>6.77840826902E11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774706.0</v>
      </c>
      <c r="F20" s="18" t="str">
        <f>"－"</f>
        <v>－</v>
      </c>
      <c r="G20" s="17" t="n">
        <v>5.34677035E11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248229.0</v>
      </c>
      <c r="F21" s="22" t="str">
        <f>"－"</f>
        <v>－</v>
      </c>
      <c r="G21" s="21" t="n">
        <v>1.680870242E11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206149.0</v>
      </c>
      <c r="F22" s="22" t="str">
        <f>"－"</f>
        <v>－</v>
      </c>
      <c r="G22" s="21" t="n">
        <v>1.3953686495E11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1229084.0</v>
      </c>
      <c r="F23" s="26" t="str">
        <f>"－"</f>
        <v>－</v>
      </c>
      <c r="G23" s="25" t="n">
        <v>8.4230092415E11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23385.0</v>
      </c>
      <c r="F24" s="18" t="n">
        <f>45</f>
        <v>45.0</v>
      </c>
      <c r="G24" s="17" t="n">
        <v>9.667839335E11</v>
      </c>
      <c r="H24" s="18" t="n">
        <f>1860923500</f>
        <v>1.8609235E9</v>
      </c>
    </row>
    <row r="25" spans="1:8" ht="24.9" customHeight="1">
      <c r="A25" s="51"/>
      <c r="B25" s="57"/>
      <c r="C25" s="39"/>
      <c r="D25" s="20" t="s">
        <v>16</v>
      </c>
      <c r="E25" s="21" t="n">
        <v>18870.0</v>
      </c>
      <c r="F25" s="22" t="n">
        <f>205</f>
        <v>205.0</v>
      </c>
      <c r="G25" s="21" t="n">
        <v>7.74795908E11</v>
      </c>
      <c r="H25" s="22" t="n">
        <f>8415833000</f>
        <v>8.415833E9</v>
      </c>
    </row>
    <row r="26" spans="1:8" ht="24.9" customHeight="1">
      <c r="A26" s="51"/>
      <c r="B26" s="57"/>
      <c r="C26" s="39"/>
      <c r="D26" s="20" t="s">
        <v>17</v>
      </c>
      <c r="E26" s="21" t="n">
        <v>30934.0</v>
      </c>
      <c r="F26" s="22" t="n">
        <f>7793</f>
        <v>7793.0</v>
      </c>
      <c r="G26" s="21" t="n">
        <v>1.2721599128E12</v>
      </c>
      <c r="H26" s="22" t="n">
        <f>320524817800</f>
        <v>3.205248178E11</v>
      </c>
    </row>
    <row r="27" spans="1:8" ht="24.9" customHeight="1">
      <c r="A27" s="51"/>
      <c r="B27" s="57"/>
      <c r="C27" s="39"/>
      <c r="D27" s="24" t="s">
        <v>18</v>
      </c>
      <c r="E27" s="25" t="n">
        <v>73189.0</v>
      </c>
      <c r="F27" s="26" t="n">
        <f>8043</f>
        <v>8043.0</v>
      </c>
      <c r="G27" s="25" t="n">
        <v>3.0137397543E12</v>
      </c>
      <c r="H27" s="26" t="n">
        <f>330801574300</f>
        <v>3.308015743E11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10408.0</v>
      </c>
      <c r="F28" s="18" t="n">
        <f>678</f>
        <v>678.0</v>
      </c>
      <c r="G28" s="17" t="n">
        <v>4.305178027E10</v>
      </c>
      <c r="H28" s="18" t="n">
        <f>2804107520</f>
        <v>2.80410752E9</v>
      </c>
    </row>
    <row r="29" spans="1:8" ht="24.9" customHeight="1">
      <c r="A29" s="51"/>
      <c r="B29" s="57"/>
      <c r="C29" s="39"/>
      <c r="D29" s="20" t="s">
        <v>16</v>
      </c>
      <c r="E29" s="21" t="n">
        <v>7776.0</v>
      </c>
      <c r="F29" s="22" t="n">
        <f>222</f>
        <v>222.0</v>
      </c>
      <c r="G29" s="21" t="n">
        <v>3.193978225E10</v>
      </c>
      <c r="H29" s="22" t="n">
        <f>911889000</f>
        <v>9.11889E8</v>
      </c>
    </row>
    <row r="30" spans="1:8" ht="24.9" customHeight="1">
      <c r="A30" s="51"/>
      <c r="B30" s="57"/>
      <c r="C30" s="39"/>
      <c r="D30" s="20" t="s">
        <v>17</v>
      </c>
      <c r="E30" s="21" t="n">
        <v>6528.0</v>
      </c>
      <c r="F30" s="22" t="n">
        <f>157</f>
        <v>157.0</v>
      </c>
      <c r="G30" s="21" t="n">
        <v>2.683846255E10</v>
      </c>
      <c r="H30" s="22" t="n">
        <f>645262050</f>
        <v>6.4526205E8</v>
      </c>
    </row>
    <row r="31" spans="1:8" ht="24.9" customHeight="1">
      <c r="A31" s="51"/>
      <c r="B31" s="57"/>
      <c r="C31" s="39"/>
      <c r="D31" s="24" t="s">
        <v>18</v>
      </c>
      <c r="E31" s="25" t="n">
        <v>24712.0</v>
      </c>
      <c r="F31" s="26" t="n">
        <f>1057</f>
        <v>1057.0</v>
      </c>
      <c r="G31" s="25" t="n">
        <v>1.0183002507E11</v>
      </c>
      <c r="H31" s="26" t="n">
        <f>4361258570</f>
        <v>4.36125857E9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996.0</v>
      </c>
      <c r="F36" s="18" t="n">
        <f>1</f>
        <v>1.0</v>
      </c>
      <c r="G36" s="17" t="n">
        <v>3.71003501E9</v>
      </c>
      <c r="H36" s="18" t="n">
        <f>3722010</f>
        <v>3722010.0</v>
      </c>
    </row>
    <row r="37" spans="1:8" ht="24.9" customHeight="1">
      <c r="A37" s="51"/>
      <c r="B37" s="57"/>
      <c r="C37" s="39"/>
      <c r="D37" s="20" t="s">
        <v>16</v>
      </c>
      <c r="E37" s="21" t="n">
        <v>625.0</v>
      </c>
      <c r="F37" s="22" t="n">
        <f>2</f>
        <v>2.0</v>
      </c>
      <c r="G37" s="21" t="n">
        <v>2.30914249E9</v>
      </c>
      <c r="H37" s="22" t="n">
        <f>7382490</f>
        <v>7382490.0</v>
      </c>
    </row>
    <row r="38" spans="1:8" ht="24.9" customHeight="1">
      <c r="A38" s="51"/>
      <c r="B38" s="57"/>
      <c r="C38" s="39"/>
      <c r="D38" s="20" t="s">
        <v>17</v>
      </c>
      <c r="E38" s="21" t="n">
        <v>633.0</v>
      </c>
      <c r="F38" s="22" t="n">
        <f>3</f>
        <v>3.0</v>
      </c>
      <c r="G38" s="21" t="n">
        <v>2.3458415E9</v>
      </c>
      <c r="H38" s="22" t="n">
        <f>11107000</f>
        <v>1.1107E7</v>
      </c>
    </row>
    <row r="39" spans="1:8" ht="24.9" customHeight="1">
      <c r="A39" s="51"/>
      <c r="B39" s="57"/>
      <c r="C39" s="39"/>
      <c r="D39" s="24" t="s">
        <v>18</v>
      </c>
      <c r="E39" s="25" t="n">
        <v>2254.0</v>
      </c>
      <c r="F39" s="26" t="n">
        <f>6</f>
        <v>6.0</v>
      </c>
      <c r="G39" s="25" t="n">
        <v>8.365019E9</v>
      </c>
      <c r="H39" s="26" t="n">
        <f>22211500</f>
        <v>2.22115E7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105.0</v>
      </c>
      <c r="F46" s="22" t="n">
        <f>105</f>
        <v>105.0</v>
      </c>
      <c r="G46" s="21" t="n">
        <v>7.8435E8</v>
      </c>
      <c r="H46" s="22" t="n">
        <f>784350000</f>
        <v>7.8435E8</v>
      </c>
    </row>
    <row r="47" spans="1:8" ht="24.9" customHeight="1">
      <c r="A47" s="51"/>
      <c r="B47" s="57"/>
      <c r="C47" s="39"/>
      <c r="D47" s="24" t="s">
        <v>18</v>
      </c>
      <c r="E47" s="25" t="n">
        <v>105.0</v>
      </c>
      <c r="F47" s="26" t="n">
        <f>105</f>
        <v>105.0</v>
      </c>
      <c r="G47" s="25" t="n">
        <v>7.8435E8</v>
      </c>
      <c r="H47" s="26" t="n">
        <f>784350000</f>
        <v>7.8435E8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60.0</v>
      </c>
      <c r="F48" s="18" t="n">
        <f>60</f>
        <v>60.0</v>
      </c>
      <c r="G48" s="17" t="n">
        <v>9.921752E7</v>
      </c>
      <c r="H48" s="18" t="n">
        <f>99217520</f>
        <v>9.921752E7</v>
      </c>
    </row>
    <row r="49" spans="1:8" ht="24.9" customHeight="1">
      <c r="A49" s="51"/>
      <c r="B49" s="57"/>
      <c r="C49" s="39"/>
      <c r="D49" s="20" t="s">
        <v>16</v>
      </c>
      <c r="E49" s="21" t="n">
        <v>47.0</v>
      </c>
      <c r="F49" s="22" t="n">
        <f>0</f>
        <v>0.0</v>
      </c>
      <c r="G49" s="21" t="n">
        <v>7.7808E7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1029.0</v>
      </c>
      <c r="F50" s="22" t="n">
        <f>870</f>
        <v>870.0</v>
      </c>
      <c r="G50" s="21" t="n">
        <v>1.7051199E9</v>
      </c>
      <c r="H50" s="22" t="n">
        <f>1442004400</f>
        <v>1.4420044E9</v>
      </c>
    </row>
    <row r="51" spans="1:8" ht="24.9" customHeight="1">
      <c r="A51" s="51"/>
      <c r="B51" s="57"/>
      <c r="C51" s="39"/>
      <c r="D51" s="24" t="s">
        <v>18</v>
      </c>
      <c r="E51" s="25" t="n">
        <v>1136.0</v>
      </c>
      <c r="F51" s="26" t="n">
        <f>930</f>
        <v>930.0</v>
      </c>
      <c r="G51" s="25" t="n">
        <v>1.88214542E9</v>
      </c>
      <c r="H51" s="26" t="n">
        <f>1541221920</f>
        <v>1.54122192E9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838.0</v>
      </c>
      <c r="F56" s="18" t="n">
        <f>8</f>
        <v>8.0</v>
      </c>
      <c r="G56" s="17" t="n">
        <v>6.721219E8</v>
      </c>
      <c r="H56" s="18" t="n">
        <f>6423900</f>
        <v>6423900.0</v>
      </c>
    </row>
    <row r="57" spans="1:8" ht="24.9" customHeight="1">
      <c r="A57" s="51"/>
      <c r="B57" s="57"/>
      <c r="C57" s="39"/>
      <c r="D57" s="20" t="s">
        <v>16</v>
      </c>
      <c r="E57" s="21" t="n">
        <v>1104.0</v>
      </c>
      <c r="F57" s="22" t="n">
        <f>28</f>
        <v>28.0</v>
      </c>
      <c r="G57" s="21" t="n">
        <v>8.792761E8</v>
      </c>
      <c r="H57" s="22" t="n">
        <f>22347100</f>
        <v>2.23471E7</v>
      </c>
    </row>
    <row r="58" spans="1:8" ht="24.9" customHeight="1">
      <c r="A58" s="51"/>
      <c r="B58" s="57"/>
      <c r="C58" s="39"/>
      <c r="D58" s="20" t="s">
        <v>17</v>
      </c>
      <c r="E58" s="21" t="n">
        <v>1957.0</v>
      </c>
      <c r="F58" s="22" t="n">
        <f>640</f>
        <v>640.0</v>
      </c>
      <c r="G58" s="21" t="n">
        <v>1.5443624E9</v>
      </c>
      <c r="H58" s="22" t="n">
        <f>505709400</f>
        <v>5.057094E8</v>
      </c>
    </row>
    <row r="59" spans="1:8" ht="24.9" customHeight="1">
      <c r="A59" s="51"/>
      <c r="B59" s="57"/>
      <c r="C59" s="39"/>
      <c r="D59" s="24" t="s">
        <v>18</v>
      </c>
      <c r="E59" s="25" t="n">
        <v>3899.0</v>
      </c>
      <c r="F59" s="26" t="n">
        <f>676</f>
        <v>676.0</v>
      </c>
      <c r="G59" s="25" t="n">
        <v>3.0957604E9</v>
      </c>
      <c r="H59" s="26" t="n">
        <f>534480400</f>
        <v>5.344804E8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361.0</v>
      </c>
      <c r="F60" s="18" t="n">
        <f>29</f>
        <v>29.0</v>
      </c>
      <c r="G60" s="17" t="n">
        <v>1.8708785E9</v>
      </c>
      <c r="H60" s="18" t="n">
        <f>150411200</f>
        <v>1.504112E8</v>
      </c>
    </row>
    <row r="61" spans="1:8" ht="24.9" customHeight="1">
      <c r="A61" s="51"/>
      <c r="B61" s="57"/>
      <c r="C61" s="39"/>
      <c r="D61" s="20" t="s">
        <v>16</v>
      </c>
      <c r="E61" s="21" t="n">
        <v>35.0</v>
      </c>
      <c r="F61" s="22" t="n">
        <f>1</f>
        <v>1.0</v>
      </c>
      <c r="G61" s="21" t="n">
        <v>1.82474E8</v>
      </c>
      <c r="H61" s="22" t="n">
        <f>5212800</f>
        <v>5212800.0</v>
      </c>
    </row>
    <row r="62" spans="1:8" ht="24.9" customHeight="1">
      <c r="A62" s="51"/>
      <c r="B62" s="57"/>
      <c r="C62" s="39"/>
      <c r="D62" s="20" t="s">
        <v>17</v>
      </c>
      <c r="E62" s="21" t="n">
        <v>24.0</v>
      </c>
      <c r="F62" s="22" t="n">
        <f>4</f>
        <v>4.0</v>
      </c>
      <c r="G62" s="21" t="n">
        <v>1.2541662E8</v>
      </c>
      <c r="H62" s="22" t="n">
        <f>20904020</f>
        <v>2.090402E7</v>
      </c>
    </row>
    <row r="63" spans="1:8" ht="24.9" customHeight="1">
      <c r="A63" s="51"/>
      <c r="B63" s="57"/>
      <c r="C63" s="39"/>
      <c r="D63" s="24" t="s">
        <v>18</v>
      </c>
      <c r="E63" s="25" t="n">
        <v>420.0</v>
      </c>
      <c r="F63" s="26" t="n">
        <f>34</f>
        <v>34.0</v>
      </c>
      <c r="G63" s="25" t="n">
        <v>2.17876912E9</v>
      </c>
      <c r="H63" s="26" t="n">
        <f>176528020</f>
        <v>1.7652802E8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3.0</v>
      </c>
      <c r="F76" s="18" t="n">
        <f>0</f>
        <v>0.0</v>
      </c>
      <c r="G76" s="17" t="n">
        <v>831500.0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60.0</v>
      </c>
      <c r="F77" s="22" t="n">
        <f>0</f>
        <v>0.0</v>
      </c>
      <c r="G77" s="21" t="n">
        <v>1.80215E7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12.0</v>
      </c>
      <c r="F78" s="22" t="n">
        <f>0</f>
        <v>0.0</v>
      </c>
      <c r="G78" s="21" t="n">
        <v>3661500.0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75.0</v>
      </c>
      <c r="F79" s="26" t="n">
        <f>0</f>
        <v>0.0</v>
      </c>
      <c r="G79" s="25" t="n">
        <v>2.25145E7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506.0</v>
      </c>
      <c r="F92" s="18" t="n">
        <f>0</f>
        <v>0.0</v>
      </c>
      <c r="G92" s="17" t="n">
        <v>7.963963E8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429.0</v>
      </c>
      <c r="F93" s="22" t="n">
        <f>0</f>
        <v>0.0</v>
      </c>
      <c r="G93" s="21" t="n">
        <v>6.762034E8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16.0</v>
      </c>
      <c r="F94" s="22" t="n">
        <f>0</f>
        <v>0.0</v>
      </c>
      <c r="G94" s="21" t="n">
        <v>2.51992E7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951.0</v>
      </c>
      <c r="F95" s="26" t="n">
        <f>0</f>
        <v>0.0</v>
      </c>
      <c r="G95" s="25" t="n">
        <v>1.4977989E9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25.0</v>
      </c>
      <c r="F96" s="18" t="n">
        <f>0</f>
        <v>0.0</v>
      </c>
      <c r="G96" s="17" t="n">
        <v>5.9068E7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0.0</v>
      </c>
      <c r="F97" s="22" t="n">
        <f>0</f>
        <v>0.0</v>
      </c>
      <c r="G97" s="21" t="n">
        <v>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41.0</v>
      </c>
      <c r="F98" s="22" t="n">
        <f>0</f>
        <v>0.0</v>
      </c>
      <c r="G98" s="21" t="n">
        <v>9.686E7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66.0</v>
      </c>
      <c r="F99" s="26" t="n">
        <f>0</f>
        <v>0.0</v>
      </c>
      <c r="G99" s="25" t="n">
        <v>1.55928E8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13916.0</v>
      </c>
      <c r="F108" s="18" t="n">
        <f>107</f>
        <v>107.0</v>
      </c>
      <c r="G108" s="17" t="n">
        <v>1.73696841E12</v>
      </c>
      <c r="H108" s="18" t="n">
        <f>13369870000</f>
        <v>1.336987E10</v>
      </c>
    </row>
    <row r="109" spans="1:8" ht="24.9" customHeight="1">
      <c r="A109" s="51"/>
      <c r="B109" s="57"/>
      <c r="C109" s="39"/>
      <c r="D109" s="20" t="s">
        <v>16</v>
      </c>
      <c r="E109" s="21" t="n">
        <v>12904.0</v>
      </c>
      <c r="F109" s="22" t="n">
        <f>367</f>
        <v>367.0</v>
      </c>
      <c r="G109" s="21" t="n">
        <v>1.611246595E12</v>
      </c>
      <c r="H109" s="22" t="n">
        <f>45820585000</f>
        <v>4.5820585E10</v>
      </c>
    </row>
    <row r="110" spans="1:8" ht="24.9" customHeight="1">
      <c r="A110" s="51"/>
      <c r="B110" s="57"/>
      <c r="C110" s="39"/>
      <c r="D110" s="20" t="s">
        <v>17</v>
      </c>
      <c r="E110" s="21" t="n">
        <v>14220.0</v>
      </c>
      <c r="F110" s="22" t="n">
        <f>1237</f>
        <v>1237.0</v>
      </c>
      <c r="G110" s="21" t="n">
        <v>1.777321215E12</v>
      </c>
      <c r="H110" s="22" t="n">
        <f>154604005000</f>
        <v>1.54604005E11</v>
      </c>
    </row>
    <row r="111" spans="1:8" ht="24.9" customHeight="1">
      <c r="A111" s="51"/>
      <c r="B111" s="57"/>
      <c r="C111" s="39"/>
      <c r="D111" s="24" t="s">
        <v>18</v>
      </c>
      <c r="E111" s="25" t="n">
        <v>41040.0</v>
      </c>
      <c r="F111" s="26" t="n">
        <f>1711</f>
        <v>1711.0</v>
      </c>
      <c r="G111" s="25" t="n">
        <v>5.12553622E12</v>
      </c>
      <c r="H111" s="26" t="n">
        <f>213794460000</f>
        <v>2.1379446E11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1324.0</v>
      </c>
      <c r="F113" s="22" t="n">
        <f>0</f>
        <v>0.0</v>
      </c>
      <c r="G113" s="21" t="n">
        <v>1.6531744E10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1694.0</v>
      </c>
      <c r="F114" s="22" t="n">
        <f>0</f>
        <v>0.0</v>
      </c>
      <c r="G114" s="21" t="n">
        <v>2.1173413E10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3018.0</v>
      </c>
      <c r="F115" s="26" t="n">
        <f>0</f>
        <v>0.0</v>
      </c>
      <c r="G115" s="25" t="n">
        <v>3.7705157E10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241.0</v>
      </c>
      <c r="F118" s="22" t="n">
        <f>121</f>
        <v>121.0</v>
      </c>
      <c r="G118" s="21" t="n">
        <v>2.136032E9</v>
      </c>
      <c r="H118" s="22" t="n">
        <f>1072302000</f>
        <v>1.072302E9</v>
      </c>
    </row>
    <row r="119" spans="1:8" ht="24.9" customHeight="1">
      <c r="A119" s="51"/>
      <c r="B119" s="58"/>
      <c r="C119" s="39"/>
      <c r="D119" s="24" t="s">
        <v>18</v>
      </c>
      <c r="E119" s="25" t="n">
        <v>241.0</v>
      </c>
      <c r="F119" s="26" t="n">
        <f>121</f>
        <v>121.0</v>
      </c>
      <c r="G119" s="25" t="n">
        <v>2.136032E9</v>
      </c>
      <c r="H119" s="26" t="n">
        <f>1072302000</f>
        <v>1.072302E9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427.0</v>
      </c>
      <c r="F120" s="18" t="n">
        <f>0</f>
        <v>0.0</v>
      </c>
      <c r="G120" s="17" t="n">
        <v>1.048412125E10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1348.0</v>
      </c>
      <c r="F121" s="22" t="n">
        <f>0</f>
        <v>0.0</v>
      </c>
      <c r="G121" s="21" t="n">
        <v>3.3252565625E10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369.0</v>
      </c>
      <c r="F122" s="22" t="n">
        <f>0</f>
        <v>0.0</v>
      </c>
      <c r="G122" s="21" t="n">
        <v>9.067213125E9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2144.0</v>
      </c>
      <c r="F123" s="26" t="n">
        <f>0</f>
        <v>0.0</v>
      </c>
      <c r="G123" s="25" t="n">
        <v>5.28039E10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6660.0</v>
      </c>
      <c r="F124" s="18" t="n">
        <f>0</f>
        <v>0.0</v>
      </c>
      <c r="G124" s="17" t="n">
        <v>1.45418682E11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2738.0</v>
      </c>
      <c r="F125" s="22" t="n">
        <f>0</f>
        <v>0.0</v>
      </c>
      <c r="G125" s="21" t="n">
        <v>5.9380854E10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2665.0</v>
      </c>
      <c r="F126" s="22" t="n">
        <f>0</f>
        <v>0.0</v>
      </c>
      <c r="G126" s="21" t="n">
        <v>5.7988742E10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12063.0</v>
      </c>
      <c r="F127" s="26" t="n">
        <f>0</f>
        <v>0.0</v>
      </c>
      <c r="G127" s="25" t="n">
        <v>2.62788278E11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1614.0</v>
      </c>
      <c r="F128" s="18" t="n">
        <f>0</f>
        <v>0.0</v>
      </c>
      <c r="G128" s="17" t="n">
        <v>3.4801565E9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229.0</v>
      </c>
      <c r="F129" s="22" t="n">
        <f>0</f>
        <v>0.0</v>
      </c>
      <c r="G129" s="21" t="n">
        <v>4.906253E8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622.0</v>
      </c>
      <c r="F130" s="22" t="n">
        <f>0</f>
        <v>0.0</v>
      </c>
      <c r="G130" s="21" t="n">
        <v>1.3383317E9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2465.0</v>
      </c>
      <c r="F131" s="26" t="n">
        <f>0</f>
        <v>0.0</v>
      </c>
      <c r="G131" s="25" t="n">
        <v>5.3091135E9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6948.0</v>
      </c>
      <c r="F132" s="18" t="n">
        <f>0</f>
        <v>0.0</v>
      </c>
      <c r="G132" s="17" t="n">
        <v>1.521599185E10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2230.0</v>
      </c>
      <c r="F133" s="22" t="n">
        <f>0</f>
        <v>0.0</v>
      </c>
      <c r="G133" s="21" t="n">
        <v>4.85381615E9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2121.0</v>
      </c>
      <c r="F134" s="22" t="n">
        <f>0</f>
        <v>0.0</v>
      </c>
      <c r="G134" s="21" t="n">
        <v>4.6366268E9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11299.0</v>
      </c>
      <c r="F135" s="26" t="n">
        <f>0</f>
        <v>0.0</v>
      </c>
      <c r="G135" s="25" t="n">
        <v>2.47064348E10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53.0</v>
      </c>
      <c r="F136" s="18" t="n">
        <f>0</f>
        <v>0.0</v>
      </c>
      <c r="G136" s="17" t="n">
        <v>1.12864E8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32.0</v>
      </c>
      <c r="F137" s="22" t="n">
        <f>0</f>
        <v>0.0</v>
      </c>
      <c r="G137" s="21" t="n">
        <v>6.77119E7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17.0</v>
      </c>
      <c r="F138" s="22" t="n">
        <f>0</f>
        <v>0.0</v>
      </c>
      <c r="G138" s="21" t="n">
        <v>3.61303E7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102.0</v>
      </c>
      <c r="F139" s="26" t="n">
        <f>0</f>
        <v>0.0</v>
      </c>
      <c r="G139" s="25" t="n">
        <v>2.167062E8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1.0</v>
      </c>
      <c r="F141" s="22" t="n">
        <f>0</f>
        <v>0.0</v>
      </c>
      <c r="G141" s="21" t="n">
        <v>9180000.0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1.0</v>
      </c>
      <c r="F143" s="26" t="n">
        <f>0</f>
        <v>0.0</v>
      </c>
      <c r="G143" s="25" t="n">
        <v>9180000.0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1584.0</v>
      </c>
      <c r="F144" s="18" t="n">
        <f>0</f>
        <v>0.0</v>
      </c>
      <c r="G144" s="17" t="n">
        <v>6.647343E9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576.0</v>
      </c>
      <c r="F145" s="22" t="n">
        <f>0</f>
        <v>0.0</v>
      </c>
      <c r="G145" s="21" t="n">
        <v>2.409964E9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645.0</v>
      </c>
      <c r="F146" s="22" t="n">
        <f>0</f>
        <v>0.0</v>
      </c>
      <c r="G146" s="21" t="n">
        <v>2.7166155E9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2805.0</v>
      </c>
      <c r="F147" s="26" t="n">
        <f>0</f>
        <v>0.0</v>
      </c>
      <c r="G147" s="25" t="n">
        <v>1.17739225E10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964.0</v>
      </c>
      <c r="F148" s="18" t="n">
        <f>0</f>
        <v>0.0</v>
      </c>
      <c r="G148" s="17" t="n">
        <v>8.3442E8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118.0</v>
      </c>
      <c r="F149" s="22" t="n">
        <f>0</f>
        <v>0.0</v>
      </c>
      <c r="G149" s="21" t="n">
        <v>1.018912E8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537.0</v>
      </c>
      <c r="F150" s="22" t="n">
        <f>0</f>
        <v>0.0</v>
      </c>
      <c r="G150" s="21" t="n">
        <v>4.662324E8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1619.0</v>
      </c>
      <c r="F151" s="26" t="n">
        <f>0</f>
        <v>0.0</v>
      </c>
      <c r="G151" s="25" t="n">
        <v>1.4025436E9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485.0</v>
      </c>
      <c r="F152" s="18" t="n">
        <f>0</f>
        <v>0.0</v>
      </c>
      <c r="G152" s="17" t="n">
        <v>4.0737895E8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137.0</v>
      </c>
      <c r="F153" s="22" t="n">
        <f>0</f>
        <v>0.0</v>
      </c>
      <c r="G153" s="21" t="n">
        <v>1.147065E8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700.0</v>
      </c>
      <c r="F154" s="22" t="n">
        <f>0</f>
        <v>0.0</v>
      </c>
      <c r="G154" s="21" t="n">
        <v>5.9135485E8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1322.0</v>
      </c>
      <c r="F155" s="26" t="n">
        <f>0</f>
        <v>0.0</v>
      </c>
      <c r="G155" s="25" t="n">
        <v>1.1134403E9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230.0</v>
      </c>
      <c r="F156" s="18" t="n">
        <f>0</f>
        <v>0.0</v>
      </c>
      <c r="G156" s="17" t="n">
        <v>1.973384E8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5.0</v>
      </c>
      <c r="F157" s="22" t="n">
        <f>0</f>
        <v>0.0</v>
      </c>
      <c r="G157" s="21" t="n">
        <v>4252400.0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58.0</v>
      </c>
      <c r="F158" s="22" t="n">
        <f>0</f>
        <v>0.0</v>
      </c>
      <c r="G158" s="21" t="n">
        <v>4.98806E7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293.0</v>
      </c>
      <c r="F159" s="26" t="n">
        <f>0</f>
        <v>0.0</v>
      </c>
      <c r="G159" s="25" t="n">
        <v>2.514714E8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798.0</v>
      </c>
      <c r="F168" s="18" t="n">
        <f>0</f>
        <v>0.0</v>
      </c>
      <c r="G168" s="17" t="n">
        <v>1.84484E9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117.0</v>
      </c>
      <c r="F169" s="22" t="n">
        <f>0</f>
        <v>0.0</v>
      </c>
      <c r="G169" s="21" t="n">
        <v>2.69986E8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263.0</v>
      </c>
      <c r="F170" s="22" t="n">
        <f>0</f>
        <v>0.0</v>
      </c>
      <c r="G170" s="21" t="n">
        <v>6.0366E8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1178.0</v>
      </c>
      <c r="F171" s="26" t="n">
        <f>0</f>
        <v>0.0</v>
      </c>
      <c r="G171" s="25" t="n">
        <v>2.718486E9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40.0</v>
      </c>
      <c r="F176" s="18" t="n">
        <f>0</f>
        <v>0.0</v>
      </c>
      <c r="G176" s="17" t="n">
        <v>8.2622E7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0.0</v>
      </c>
      <c r="F178" s="22" t="n">
        <f>0</f>
        <v>0.0</v>
      </c>
      <c r="G178" s="21" t="n">
        <v>0.0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40.0</v>
      </c>
      <c r="F179" s="26" t="n">
        <f>0</f>
        <v>0.0</v>
      </c>
      <c r="G179" s="25" t="n">
        <v>8.2622E7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739.0</v>
      </c>
      <c r="F204" s="18" t="n">
        <f>0</f>
        <v>0.0</v>
      </c>
      <c r="G204" s="17" t="n">
        <v>3.450224E9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164.0</v>
      </c>
      <c r="F205" s="22" t="n">
        <f>0</f>
        <v>0.0</v>
      </c>
      <c r="G205" s="21" t="n">
        <v>7.830215E8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4345.0</v>
      </c>
      <c r="F206" s="22" t="n">
        <f>0</f>
        <v>0.0</v>
      </c>
      <c r="G206" s="21" t="n">
        <v>2.0610435E10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5248.0</v>
      </c>
      <c r="F207" s="26" t="n">
        <f>0</f>
        <v>0.0</v>
      </c>
      <c r="G207" s="25" t="n">
        <v>2.48436805E10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30.0</v>
      </c>
      <c r="F214" s="22" t="n">
        <f>30</f>
        <v>30.0</v>
      </c>
      <c r="G214" s="21" t="n">
        <v>3.1668E7</v>
      </c>
      <c r="H214" s="22" t="n">
        <f>31668000</f>
        <v>3.1668E7</v>
      </c>
    </row>
    <row r="215" spans="1:8" ht="24.9" customHeight="1">
      <c r="A215" s="57"/>
      <c r="B215" s="59"/>
      <c r="C215" s="39"/>
      <c r="D215" s="24" t="s">
        <v>18</v>
      </c>
      <c r="E215" s="25" t="n">
        <v>30.0</v>
      </c>
      <c r="F215" s="26" t="n">
        <f>30</f>
        <v>30.0</v>
      </c>
      <c r="G215" s="25" t="n">
        <v>3.1668E7</v>
      </c>
      <c r="H215" s="26" t="n">
        <f>31668000</f>
        <v>3.1668E7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10.0</v>
      </c>
      <c r="F250" s="22" t="n">
        <f>10</f>
        <v>10.0</v>
      </c>
      <c r="G250" s="21" t="n">
        <v>1.774368E8</v>
      </c>
      <c r="H250" s="22" t="n">
        <f>177436800</f>
        <v>1.774368E8</v>
      </c>
    </row>
    <row r="251" spans="1:8" ht="24.9" customHeight="1">
      <c r="A251" s="57"/>
      <c r="B251" s="59"/>
      <c r="C251" s="39"/>
      <c r="D251" s="24" t="s">
        <v>18</v>
      </c>
      <c r="E251" s="25" t="n">
        <v>10.0</v>
      </c>
      <c r="F251" s="26" t="n">
        <f>10</f>
        <v>10.0</v>
      </c>
      <c r="G251" s="25" t="n">
        <v>1.774368E8</v>
      </c>
      <c r="H251" s="26" t="n">
        <f>177436800</f>
        <v>1.774368E8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46308.0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46308.0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5250</f>
        <v>5250.0</v>
      </c>
      <c r="E12" s="35" t="n">
        <f>1410</f>
        <v>1410.0</v>
      </c>
      <c r="F12" s="17" t="n">
        <f>3279</f>
        <v>3279.0</v>
      </c>
      <c r="G12" s="35" t="n">
        <f>969</f>
        <v>969.0</v>
      </c>
      <c r="H12" s="17" t="n">
        <f>8529</f>
        <v>8529.0</v>
      </c>
      <c r="I12" s="35" t="n">
        <f>2379</f>
        <v>2379.0</v>
      </c>
      <c r="J12" s="17" t="n">
        <f>1861975432</f>
        <v>1.861975432E9</v>
      </c>
      <c r="K12" s="35" t="n">
        <f>884996432</f>
        <v>8.84996432E8</v>
      </c>
      <c r="L12" s="17" t="n">
        <f>2245968820</f>
        <v>2.24596882E9</v>
      </c>
      <c r="M12" s="35" t="n">
        <f>1437071820</f>
        <v>1.43707182E9</v>
      </c>
      <c r="N12" s="17" t="n">
        <f>4107944252</f>
        <v>4.107944252E9</v>
      </c>
      <c r="O12" s="35" t="n">
        <f>2322068252</f>
        <v>2.322068252E9</v>
      </c>
    </row>
    <row r="13" spans="1:15" ht="24.9" customHeight="1">
      <c r="A13" s="38"/>
      <c r="B13" s="62"/>
      <c r="C13" s="20" t="s">
        <v>16</v>
      </c>
      <c r="D13" s="21" t="n">
        <f>5434</f>
        <v>5434.0</v>
      </c>
      <c r="E13" s="36" t="n">
        <f>836</f>
        <v>836.0</v>
      </c>
      <c r="F13" s="21" t="n">
        <f>3739</f>
        <v>3739.0</v>
      </c>
      <c r="G13" s="36" t="n">
        <f>1597</f>
        <v>1597.0</v>
      </c>
      <c r="H13" s="21" t="n">
        <f>9173</f>
        <v>9173.0</v>
      </c>
      <c r="I13" s="36" t="n">
        <f>2433</f>
        <v>2433.0</v>
      </c>
      <c r="J13" s="21" t="n">
        <f>3021479940</f>
        <v>3.02147994E9</v>
      </c>
      <c r="K13" s="36" t="n">
        <f>922982940</f>
        <v>9.2298294E8</v>
      </c>
      <c r="L13" s="21" t="n">
        <f>2097589250</f>
        <v>2.09758925E9</v>
      </c>
      <c r="M13" s="36" t="n">
        <f>1399317250</f>
        <v>1.39931725E9</v>
      </c>
      <c r="N13" s="21" t="n">
        <f>5119069190</f>
        <v>5.11906919E9</v>
      </c>
      <c r="O13" s="36" t="n">
        <f>2322300190</f>
        <v>2.32230019E9</v>
      </c>
    </row>
    <row r="14" spans="1:15" ht="24.9" customHeight="1">
      <c r="A14" s="38"/>
      <c r="B14" s="62"/>
      <c r="C14" s="20" t="s">
        <v>17</v>
      </c>
      <c r="D14" s="21" t="n">
        <f>10130</f>
        <v>10130.0</v>
      </c>
      <c r="E14" s="36" t="n">
        <f>7222</f>
        <v>7222.0</v>
      </c>
      <c r="F14" s="21" t="n">
        <f>7166</f>
        <v>7166.0</v>
      </c>
      <c r="G14" s="36" t="n">
        <f>5230</f>
        <v>5230.0</v>
      </c>
      <c r="H14" s="21" t="n">
        <f>17296</f>
        <v>17296.0</v>
      </c>
      <c r="I14" s="36" t="n">
        <f>12452</f>
        <v>12452.0</v>
      </c>
      <c r="J14" s="21" t="n">
        <f>7849248070</f>
        <v>7.84924807E9</v>
      </c>
      <c r="K14" s="36" t="n">
        <f>6427529070</f>
        <v>6.42752907E9</v>
      </c>
      <c r="L14" s="21" t="n">
        <f>7114849260</f>
        <v>7.11484926E9</v>
      </c>
      <c r="M14" s="36" t="n">
        <f>6138189260</f>
        <v>6.13818926E9</v>
      </c>
      <c r="N14" s="21" t="n">
        <f>14964097330</f>
        <v>1.496409733E10</v>
      </c>
      <c r="O14" s="36" t="n">
        <f>12565718330</f>
        <v>1.256571833E10</v>
      </c>
    </row>
    <row r="15" spans="1:15" ht="24.9" customHeight="1">
      <c r="A15" s="38"/>
      <c r="B15" s="62"/>
      <c r="C15" s="24" t="s">
        <v>18</v>
      </c>
      <c r="D15" s="25" t="n">
        <f>20814</f>
        <v>20814.0</v>
      </c>
      <c r="E15" s="37" t="n">
        <f>9468</f>
        <v>9468.0</v>
      </c>
      <c r="F15" s="25" t="n">
        <f>14184</f>
        <v>14184.0</v>
      </c>
      <c r="G15" s="37" t="n">
        <f>7796</f>
        <v>7796.0</v>
      </c>
      <c r="H15" s="25" t="n">
        <f>34998</f>
        <v>34998.0</v>
      </c>
      <c r="I15" s="37" t="n">
        <f>17264</f>
        <v>17264.0</v>
      </c>
      <c r="J15" s="25" t="n">
        <f>12732703442</f>
        <v>1.2732703442E10</v>
      </c>
      <c r="K15" s="37" t="n">
        <f>8235508442</f>
        <v>8.235508442E9</v>
      </c>
      <c r="L15" s="25" t="n">
        <f>11458407330</f>
        <v>1.145840733E10</v>
      </c>
      <c r="M15" s="37" t="n">
        <f>8974578330</f>
        <v>8.97457833E9</v>
      </c>
      <c r="N15" s="25" t="n">
        <f>24191110772</f>
        <v>2.4191110772E10</v>
      </c>
      <c r="O15" s="37" t="n">
        <f>17210086772</f>
        <v>1.7210086772E10</v>
      </c>
    </row>
    <row r="16" spans="1:15" ht="24.9" customHeight="1">
      <c r="A16" s="38"/>
      <c r="B16" s="61" t="s">
        <v>105</v>
      </c>
      <c r="C16" s="16" t="s">
        <v>15</v>
      </c>
      <c r="D16" s="17" t="n">
        <f>16638</f>
        <v>16638.0</v>
      </c>
      <c r="E16" s="35" t="n">
        <f>1370</f>
        <v>1370.0</v>
      </c>
      <c r="F16" s="17" t="n">
        <f>11820</f>
        <v>11820.0</v>
      </c>
      <c r="G16" s="35" t="n">
        <f>690</f>
        <v>690.0</v>
      </c>
      <c r="H16" s="17" t="n">
        <f>28458</f>
        <v>28458.0</v>
      </c>
      <c r="I16" s="35" t="n">
        <f>2060</f>
        <v>2060.0</v>
      </c>
      <c r="J16" s="17" t="n">
        <f>450664980</f>
        <v>4.5066498E8</v>
      </c>
      <c r="K16" s="35" t="n">
        <f>18023180</f>
        <v>1.802318E7</v>
      </c>
      <c r="L16" s="17" t="n">
        <f>477393510</f>
        <v>4.7739351E8</v>
      </c>
      <c r="M16" s="35" t="n">
        <f>9129710</f>
        <v>9129710.0</v>
      </c>
      <c r="N16" s="17" t="n">
        <f>928058490</f>
        <v>9.2805849E8</v>
      </c>
      <c r="O16" s="35" t="n">
        <f>27152890</f>
        <v>2.715289E7</v>
      </c>
    </row>
    <row r="17" spans="1:15" ht="24.9" customHeight="1">
      <c r="A17" s="38"/>
      <c r="B17" s="62"/>
      <c r="C17" s="20" t="s">
        <v>16</v>
      </c>
      <c r="D17" s="21" t="n">
        <f>8196</f>
        <v>8196.0</v>
      </c>
      <c r="E17" s="36" t="n">
        <f>410</f>
        <v>410.0</v>
      </c>
      <c r="F17" s="21" t="n">
        <f>7194</f>
        <v>7194.0</v>
      </c>
      <c r="G17" s="36" t="n">
        <f>410</f>
        <v>410.0</v>
      </c>
      <c r="H17" s="21" t="n">
        <f>15390</f>
        <v>15390.0</v>
      </c>
      <c r="I17" s="36" t="n">
        <f>820</f>
        <v>820.0</v>
      </c>
      <c r="J17" s="21" t="n">
        <f>300066970</f>
        <v>3.0006697E8</v>
      </c>
      <c r="K17" s="36" t="n">
        <f>6638270</f>
        <v>6638270.0</v>
      </c>
      <c r="L17" s="21" t="n">
        <f>147104090</f>
        <v>1.4710409E8</v>
      </c>
      <c r="M17" s="36" t="n">
        <f>1458690</f>
        <v>1458690.0</v>
      </c>
      <c r="N17" s="21" t="n">
        <f>447171060</f>
        <v>4.4717106E8</v>
      </c>
      <c r="O17" s="36" t="n">
        <f>8096960</f>
        <v>8096960.0</v>
      </c>
    </row>
    <row r="18" spans="1:15" ht="24.9" customHeight="1">
      <c r="A18" s="38"/>
      <c r="B18" s="62"/>
      <c r="C18" s="20" t="s">
        <v>17</v>
      </c>
      <c r="D18" s="21" t="n">
        <f>9581</f>
        <v>9581.0</v>
      </c>
      <c r="E18" s="36" t="n">
        <f>740</f>
        <v>740.0</v>
      </c>
      <c r="F18" s="21" t="n">
        <f>8196</f>
        <v>8196.0</v>
      </c>
      <c r="G18" s="36" t="n">
        <f>1210</f>
        <v>1210.0</v>
      </c>
      <c r="H18" s="21" t="n">
        <f>17777</f>
        <v>17777.0</v>
      </c>
      <c r="I18" s="36" t="n">
        <f>1950</f>
        <v>1950.0</v>
      </c>
      <c r="J18" s="21" t="n">
        <f>319128720</f>
        <v>3.1912872E8</v>
      </c>
      <c r="K18" s="36" t="n">
        <f>6396120</f>
        <v>6396120.0</v>
      </c>
      <c r="L18" s="21" t="n">
        <f>221885970</f>
        <v>2.2188597E8</v>
      </c>
      <c r="M18" s="36" t="n">
        <f>23815870</f>
        <v>2.381587E7</v>
      </c>
      <c r="N18" s="21" t="n">
        <f>541014690</f>
        <v>5.4101469E8</v>
      </c>
      <c r="O18" s="36" t="n">
        <f>30211990</f>
        <v>3.021199E7</v>
      </c>
    </row>
    <row r="19" spans="1:15" ht="24.9" customHeight="1">
      <c r="A19" s="38"/>
      <c r="B19" s="62"/>
      <c r="C19" s="24" t="s">
        <v>18</v>
      </c>
      <c r="D19" s="25" t="n">
        <f>34415</f>
        <v>34415.0</v>
      </c>
      <c r="E19" s="37" t="n">
        <f>2520</f>
        <v>2520.0</v>
      </c>
      <c r="F19" s="25" t="n">
        <f>27210</f>
        <v>27210.0</v>
      </c>
      <c r="G19" s="37" t="n">
        <f>2310</f>
        <v>2310.0</v>
      </c>
      <c r="H19" s="25" t="n">
        <f>61625</f>
        <v>61625.0</v>
      </c>
      <c r="I19" s="37" t="n">
        <f>4830</f>
        <v>4830.0</v>
      </c>
      <c r="J19" s="25" t="n">
        <f>1069860670</f>
        <v>1.06986067E9</v>
      </c>
      <c r="K19" s="37" t="n">
        <f>31057570</f>
        <v>3.105757E7</v>
      </c>
      <c r="L19" s="25" t="n">
        <f>846383570</f>
        <v>8.4638357E8</v>
      </c>
      <c r="M19" s="37" t="n">
        <f>34404270</f>
        <v>3.440427E7</v>
      </c>
      <c r="N19" s="25" t="n">
        <f>1916244240</f>
        <v>1.91624424E9</v>
      </c>
      <c r="O19" s="37" t="n">
        <f>65461840</f>
        <v>6.546184E7</v>
      </c>
    </row>
    <row r="20" spans="1:15" ht="24.9" customHeight="1">
      <c r="A20" s="38"/>
      <c r="B20" s="61" t="s">
        <v>106</v>
      </c>
      <c r="C20" s="16" t="s">
        <v>15</v>
      </c>
      <c r="D20" s="17" t="n">
        <f>0</f>
        <v>0.0</v>
      </c>
      <c r="E20" s="35" t="n">
        <f>0</f>
        <v>0.0</v>
      </c>
      <c r="F20" s="17" t="n">
        <f>0</f>
        <v>0.0</v>
      </c>
      <c r="G20" s="35" t="n">
        <f>0</f>
        <v>0.0</v>
      </c>
      <c r="H20" s="17" t="n">
        <f>0</f>
        <v>0.0</v>
      </c>
      <c r="I20" s="35" t="n">
        <f>0</f>
        <v>0.0</v>
      </c>
      <c r="J20" s="17" t="n">
        <f>0</f>
        <v>0.0</v>
      </c>
      <c r="K20" s="35" t="n">
        <f>0</f>
        <v>0.0</v>
      </c>
      <c r="L20" s="17" t="n">
        <f>0</f>
        <v>0.0</v>
      </c>
      <c r="M20" s="35" t="n">
        <f>0</f>
        <v>0.0</v>
      </c>
      <c r="N20" s="17" t="n">
        <f>0</f>
        <v>0.0</v>
      </c>
      <c r="O20" s="35" t="n">
        <f>0</f>
        <v>0.0</v>
      </c>
    </row>
    <row r="21" spans="1:15" ht="24.9" customHeight="1">
      <c r="A21" s="38"/>
      <c r="B21" s="62"/>
      <c r="C21" s="20" t="s">
        <v>16</v>
      </c>
      <c r="D21" s="21" t="n">
        <f>503</f>
        <v>503.0</v>
      </c>
      <c r="E21" s="36" t="n">
        <f>503</f>
        <v>503.0</v>
      </c>
      <c r="F21" s="21" t="n">
        <f>0</f>
        <v>0.0</v>
      </c>
      <c r="G21" s="36" t="n">
        <f>0</f>
        <v>0.0</v>
      </c>
      <c r="H21" s="21" t="n">
        <f>503</f>
        <v>503.0</v>
      </c>
      <c r="I21" s="36" t="n">
        <f>503</f>
        <v>503.0</v>
      </c>
      <c r="J21" s="21" t="n">
        <f>302702944</f>
        <v>3.02702944E8</v>
      </c>
      <c r="K21" s="36" t="n">
        <f>302702944</f>
        <v>3.02702944E8</v>
      </c>
      <c r="L21" s="21" t="n">
        <f>0</f>
        <v>0.0</v>
      </c>
      <c r="M21" s="36" t="n">
        <f>0</f>
        <v>0.0</v>
      </c>
      <c r="N21" s="21" t="n">
        <f>302702944</f>
        <v>3.02702944E8</v>
      </c>
      <c r="O21" s="36" t="n">
        <f>302702944</f>
        <v>3.02702944E8</v>
      </c>
    </row>
    <row r="22" spans="1:15" ht="24.9" customHeight="1">
      <c r="A22" s="38"/>
      <c r="B22" s="62"/>
      <c r="C22" s="20" t="s">
        <v>17</v>
      </c>
      <c r="D22" s="21" t="n">
        <f>50</f>
        <v>50.0</v>
      </c>
      <c r="E22" s="36" t="n">
        <f>50</f>
        <v>50.0</v>
      </c>
      <c r="F22" s="21" t="n">
        <f>169</f>
        <v>169.0</v>
      </c>
      <c r="G22" s="36" t="n">
        <f>169</f>
        <v>169.0</v>
      </c>
      <c r="H22" s="21" t="n">
        <f>219</f>
        <v>219.0</v>
      </c>
      <c r="I22" s="36" t="n">
        <f>219</f>
        <v>219.0</v>
      </c>
      <c r="J22" s="21" t="n">
        <f>17750000</f>
        <v>1.775E7</v>
      </c>
      <c r="K22" s="36" t="n">
        <f>17750000</f>
        <v>1.775E7</v>
      </c>
      <c r="L22" s="21" t="n">
        <f>183545000</f>
        <v>1.83545E8</v>
      </c>
      <c r="M22" s="36" t="n">
        <f>183545000</f>
        <v>1.83545E8</v>
      </c>
      <c r="N22" s="21" t="n">
        <f>201295000</f>
        <v>2.01295E8</v>
      </c>
      <c r="O22" s="36" t="n">
        <f>201295000</f>
        <v>2.01295E8</v>
      </c>
    </row>
    <row r="23" spans="1:15" ht="24.9" customHeight="1">
      <c r="A23" s="38"/>
      <c r="B23" s="62"/>
      <c r="C23" s="24" t="s">
        <v>18</v>
      </c>
      <c r="D23" s="25" t="n">
        <f>553</f>
        <v>553.0</v>
      </c>
      <c r="E23" s="37" t="n">
        <f>553</f>
        <v>553.0</v>
      </c>
      <c r="F23" s="25" t="n">
        <f>169</f>
        <v>169.0</v>
      </c>
      <c r="G23" s="37" t="n">
        <f>169</f>
        <v>169.0</v>
      </c>
      <c r="H23" s="25" t="n">
        <f>722</f>
        <v>722.0</v>
      </c>
      <c r="I23" s="37" t="n">
        <f>722</f>
        <v>722.0</v>
      </c>
      <c r="J23" s="25" t="n">
        <f>320452944</f>
        <v>3.20452944E8</v>
      </c>
      <c r="K23" s="37" t="n">
        <f>320452944</f>
        <v>3.20452944E8</v>
      </c>
      <c r="L23" s="25" t="n">
        <f>183545000</f>
        <v>1.83545E8</v>
      </c>
      <c r="M23" s="37" t="n">
        <f>183545000</f>
        <v>1.83545E8</v>
      </c>
      <c r="N23" s="25" t="n">
        <f>503997944</f>
        <v>5.03997944E8</v>
      </c>
      <c r="O23" s="37" t="n">
        <f>503997944</f>
        <v>5.03997944E8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15</f>
        <v>15.0</v>
      </c>
      <c r="E36" s="18" t="n">
        <f>0</f>
        <v>0.0</v>
      </c>
      <c r="F36" s="17" t="n">
        <f>45</f>
        <v>45.0</v>
      </c>
      <c r="G36" s="18" t="n">
        <f>0</f>
        <v>0.0</v>
      </c>
      <c r="H36" s="17" t="n">
        <f>60</f>
        <v>60.0</v>
      </c>
      <c r="I36" s="18" t="n">
        <f>0</f>
        <v>0.0</v>
      </c>
      <c r="J36" s="17" t="n">
        <f>2250000</f>
        <v>2250000.0</v>
      </c>
      <c r="K36" s="18" t="n">
        <f>0</f>
        <v>0.0</v>
      </c>
      <c r="L36" s="17" t="n">
        <f>11050000</f>
        <v>1.105E7</v>
      </c>
      <c r="M36" s="18" t="n">
        <f>0</f>
        <v>0.0</v>
      </c>
      <c r="N36" s="17" t="n">
        <f>13300000</f>
        <v>1.33E7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2</f>
        <v>2.0</v>
      </c>
      <c r="E37" s="22" t="n">
        <f>0</f>
        <v>0.0</v>
      </c>
      <c r="F37" s="21" t="n">
        <f>10</f>
        <v>10.0</v>
      </c>
      <c r="G37" s="22" t="n">
        <f>0</f>
        <v>0.0</v>
      </c>
      <c r="H37" s="21" t="n">
        <f>12</f>
        <v>12.0</v>
      </c>
      <c r="I37" s="22" t="n">
        <f>0</f>
        <v>0.0</v>
      </c>
      <c r="J37" s="21" t="n">
        <f>300000</f>
        <v>300000.0</v>
      </c>
      <c r="K37" s="22" t="n">
        <f>0</f>
        <v>0.0</v>
      </c>
      <c r="L37" s="21" t="n">
        <f>5100000</f>
        <v>5100000.0</v>
      </c>
      <c r="M37" s="22" t="n">
        <f>0</f>
        <v>0.0</v>
      </c>
      <c r="N37" s="21" t="n">
        <f>5400000</f>
        <v>5400000.0</v>
      </c>
      <c r="O37" s="22" t="n">
        <f>0</f>
        <v>0.0</v>
      </c>
    </row>
    <row r="38" spans="1:15" ht="24.9" customHeight="1">
      <c r="A38" s="38"/>
      <c r="B38" s="62"/>
      <c r="C38" s="20" t="s">
        <v>17</v>
      </c>
      <c r="D38" s="21" t="n">
        <f>76</f>
        <v>76.0</v>
      </c>
      <c r="E38" s="36" t="n">
        <f>0</f>
        <v>0.0</v>
      </c>
      <c r="F38" s="21" t="n">
        <f>13</f>
        <v>13.0</v>
      </c>
      <c r="G38" s="36" t="n">
        <f>0</f>
        <v>0.0</v>
      </c>
      <c r="H38" s="21" t="n">
        <f>89</f>
        <v>89.0</v>
      </c>
      <c r="I38" s="36" t="n">
        <f>0</f>
        <v>0.0</v>
      </c>
      <c r="J38" s="21" t="n">
        <f>8810000</f>
        <v>8810000.0</v>
      </c>
      <c r="K38" s="36" t="n">
        <f>0</f>
        <v>0.0</v>
      </c>
      <c r="L38" s="21" t="n">
        <f>980000</f>
        <v>980000.0</v>
      </c>
      <c r="M38" s="36" t="n">
        <f>0</f>
        <v>0.0</v>
      </c>
      <c r="N38" s="21" t="n">
        <f>9790000</f>
        <v>9790000.0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93</f>
        <v>93.0</v>
      </c>
      <c r="E39" s="37" t="n">
        <f>0</f>
        <v>0.0</v>
      </c>
      <c r="F39" s="25" t="n">
        <f>68</f>
        <v>68.0</v>
      </c>
      <c r="G39" s="37" t="n">
        <f>0</f>
        <v>0.0</v>
      </c>
      <c r="H39" s="25" t="n">
        <f>161</f>
        <v>161.0</v>
      </c>
      <c r="I39" s="37" t="n">
        <f>0</f>
        <v>0.0</v>
      </c>
      <c r="J39" s="25" t="n">
        <f>11360000</f>
        <v>1.136E7</v>
      </c>
      <c r="K39" s="37" t="n">
        <f>0</f>
        <v>0.0</v>
      </c>
      <c r="L39" s="25" t="n">
        <f>17130000</f>
        <v>1.713E7</v>
      </c>
      <c r="M39" s="37" t="n">
        <f>0</f>
        <v>0.0</v>
      </c>
      <c r="N39" s="25" t="n">
        <f>28490000</f>
        <v>2.849E7</v>
      </c>
      <c r="O39" s="37" t="n">
        <f>0</f>
        <v>0.0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4123</f>
        <v>4123.0</v>
      </c>
      <c r="E41" s="36" t="n">
        <f>0</f>
        <v>0.0</v>
      </c>
      <c r="F41" s="21" t="n">
        <f>1203</f>
        <v>1203.0</v>
      </c>
      <c r="G41" s="36" t="n">
        <f>0</f>
        <v>0.0</v>
      </c>
      <c r="H41" s="21" t="n">
        <f>5326</f>
        <v>5326.0</v>
      </c>
      <c r="I41" s="36" t="n">
        <f>0</f>
        <v>0.0</v>
      </c>
      <c r="J41" s="21" t="n">
        <f>33052555</f>
        <v>3.3052555E7</v>
      </c>
      <c r="K41" s="36" t="n">
        <f>0</f>
        <v>0.0</v>
      </c>
      <c r="L41" s="21" t="n">
        <f>5546320</f>
        <v>5546320.0</v>
      </c>
      <c r="M41" s="36" t="n">
        <f>0</f>
        <v>0.0</v>
      </c>
      <c r="N41" s="21" t="n">
        <f>38598875</f>
        <v>3.8598875E7</v>
      </c>
      <c r="O41" s="36" t="n">
        <f>0</f>
        <v>0.0</v>
      </c>
    </row>
    <row r="42" spans="1:15" ht="24.9" customHeight="1">
      <c r="A42" s="38"/>
      <c r="B42" s="62"/>
      <c r="C42" s="20" t="s">
        <v>17</v>
      </c>
      <c r="D42" s="21" t="n">
        <f>1642</f>
        <v>1642.0</v>
      </c>
      <c r="E42" s="36" t="n">
        <f>0</f>
        <v>0.0</v>
      </c>
      <c r="F42" s="21" t="n">
        <f>1645</f>
        <v>1645.0</v>
      </c>
      <c r="G42" s="36" t="n">
        <f>0</f>
        <v>0.0</v>
      </c>
      <c r="H42" s="21" t="n">
        <f>3287</f>
        <v>3287.0</v>
      </c>
      <c r="I42" s="36" t="n">
        <f>0</f>
        <v>0.0</v>
      </c>
      <c r="J42" s="21" t="n">
        <f>41778875</f>
        <v>4.1778875E7</v>
      </c>
      <c r="K42" s="36" t="n">
        <f>0</f>
        <v>0.0</v>
      </c>
      <c r="L42" s="21" t="n">
        <f>29714850</f>
        <v>2.971485E7</v>
      </c>
      <c r="M42" s="36" t="n">
        <f>0</f>
        <v>0.0</v>
      </c>
      <c r="N42" s="21" t="n">
        <f>71493725</f>
        <v>7.1493725E7</v>
      </c>
      <c r="O42" s="36" t="n">
        <f>0</f>
        <v>0.0</v>
      </c>
    </row>
    <row r="43" spans="1:15" ht="24.9" customHeight="1">
      <c r="A43" s="38"/>
      <c r="B43" s="62"/>
      <c r="C43" s="24" t="s">
        <v>18</v>
      </c>
      <c r="D43" s="25" t="n">
        <f>5765</f>
        <v>5765.0</v>
      </c>
      <c r="E43" s="37" t="n">
        <f>0</f>
        <v>0.0</v>
      </c>
      <c r="F43" s="25" t="n">
        <f>2848</f>
        <v>2848.0</v>
      </c>
      <c r="G43" s="37" t="n">
        <f>0</f>
        <v>0.0</v>
      </c>
      <c r="H43" s="25" t="n">
        <f>8613</f>
        <v>8613.0</v>
      </c>
      <c r="I43" s="37" t="n">
        <f>0</f>
        <v>0.0</v>
      </c>
      <c r="J43" s="25" t="n">
        <f>74831430</f>
        <v>7.483143E7</v>
      </c>
      <c r="K43" s="37" t="n">
        <f>0</f>
        <v>0.0</v>
      </c>
      <c r="L43" s="25" t="n">
        <f>35261170</f>
        <v>3.526117E7</v>
      </c>
      <c r="M43" s="37" t="n">
        <f>0</f>
        <v>0.0</v>
      </c>
      <c r="N43" s="25" t="n">
        <f>110092600</f>
        <v>1.100926E8</v>
      </c>
      <c r="O43" s="37" t="n">
        <f>0</f>
        <v>0.0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