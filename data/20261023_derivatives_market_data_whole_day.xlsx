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<sst xmlns="http://schemas.openxmlformats.org/spreadsheetml/2006/main" count="528" uniqueCount="129">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</sst>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DATE(2026,10,23)</f>
        <v>46318.0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DATE(2026,10,23)</f>
        <v>46318.0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1045413.0</f>
        <v>1045413.0</v>
      </c>
      <c r="E12" s="18" t="n">
        <f>43885.0</f>
        <v>43885.0</v>
      </c>
      <c r="F12" s="19" t="n">
        <f>1.0</f>
        <v>1.0</v>
      </c>
      <c r="G12" s="17" t="n">
        <f>7504684203810.0</f>
        <v>7.50468420381E12</v>
      </c>
      <c r="H12" s="18" t="n">
        <f>368128869010.0</f>
        <v>3.6812886901E11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825152.0</f>
        <v>825152.0</v>
      </c>
      <c r="E13" s="22" t="n">
        <f>24714.0</f>
        <v>24714.0</v>
      </c>
      <c r="F13" s="23" t="n">
        <f>1.0</f>
        <v>1.0</v>
      </c>
      <c r="G13" s="21" t="n">
        <f>8465251784228.0</f>
        <v>8.465251784228E12</v>
      </c>
      <c r="H13" s="22" t="n">
        <f>510539299428.0</f>
        <v>5.10539299428E11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741034.0</f>
        <v>741034.0</v>
      </c>
      <c r="E14" s="22" t="n">
        <f>40565.0</f>
        <v>40565.0</v>
      </c>
      <c r="F14" s="23" t="n">
        <f>1.0</f>
        <v>1.0</v>
      </c>
      <c r="G14" s="21" t="n">
        <f>8689091712749.0</f>
        <v>8.689091712749E12</v>
      </c>
      <c r="H14" s="22" t="n">
        <f>1015253201149.0</f>
        <v>1.015253201149E12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2611599.0</f>
        <v>2611599.0</v>
      </c>
      <c r="E15" s="26" t="n">
        <f>109164.0</f>
        <v>109164.0</v>
      </c>
      <c r="F15" s="27" t="n">
        <f>1.0</f>
        <v>1.0</v>
      </c>
      <c r="G15" s="25" t="n">
        <f>24659027700787.0</f>
        <v>2.4659027700787E13</v>
      </c>
      <c r="H15" s="26" t="n">
        <f>1893921369587.0</f>
        <v>1.893921369587E12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27690.0</f>
        <v>27690.0</v>
      </c>
      <c r="E16" s="18" t="n">
        <f>320.0</f>
        <v>320.0</v>
      </c>
      <c r="F16" s="19" t="n">
        <f>0.026</f>
        <v>0.026</v>
      </c>
      <c r="G16" s="17" t="n">
        <f>2937002933750.0</f>
        <v>2.93700293375E12</v>
      </c>
      <c r="H16" s="18" t="n">
        <f>40328200000.0</f>
        <v>4.03282E10</v>
      </c>
      <c r="I16" s="19" t="n">
        <f>0.391</f>
        <v>0.391</v>
      </c>
    </row>
    <row r="17" spans="1:9" ht="24.9" customHeight="1">
      <c r="A17" s="41"/>
      <c r="B17" s="39"/>
      <c r="C17" s="20" t="s">
        <v>16</v>
      </c>
      <c r="D17" s="21" t="n">
        <f>34854.0</f>
        <v>34854.0</v>
      </c>
      <c r="E17" s="22" t="n">
        <f>1596.0</f>
        <v>1596.0</v>
      </c>
      <c r="F17" s="23" t="n">
        <f>0.042</f>
        <v>0.042</v>
      </c>
      <c r="G17" s="21" t="n">
        <f>3686227671000.0</f>
        <v>3.686227671E12</v>
      </c>
      <c r="H17" s="22" t="n">
        <f>202220195000.0</f>
        <v>2.02220195E11</v>
      </c>
      <c r="I17" s="23" t="n">
        <f>0.435</f>
        <v>0.435</v>
      </c>
    </row>
    <row r="18" spans="1:9" ht="24.9" customHeight="1">
      <c r="A18" s="41"/>
      <c r="B18" s="39"/>
      <c r="C18" s="20" t="s">
        <v>17</v>
      </c>
      <c r="D18" s="21" t="n">
        <f>28732.0</f>
        <v>28732.0</v>
      </c>
      <c r="E18" s="22" t="n">
        <f>1840.0</f>
        <v>1840.0</v>
      </c>
      <c r="F18" s="23" t="n">
        <f>0.039</f>
        <v>0.039</v>
      </c>
      <c r="G18" s="21" t="n">
        <f>3232593124000.0</f>
        <v>3.232593124E12</v>
      </c>
      <c r="H18" s="22" t="n">
        <f>155320986000.0</f>
        <v>1.55320986E11</v>
      </c>
      <c r="I18" s="23" t="n">
        <f>0.372</f>
        <v>0.372</v>
      </c>
    </row>
    <row r="19" spans="1:9" ht="24.9" customHeight="1">
      <c r="A19" s="41"/>
      <c r="B19" s="39"/>
      <c r="C19" s="24" t="s">
        <v>18</v>
      </c>
      <c r="D19" s="25" t="n">
        <f>91276.0</f>
        <v>91276.0</v>
      </c>
      <c r="E19" s="26" t="n">
        <f>3756.0</f>
        <v>3756.0</v>
      </c>
      <c r="F19" s="27" t="n">
        <f>0.035</f>
        <v>0.035</v>
      </c>
      <c r="G19" s="25" t="n">
        <f>9855823728750.0</f>
        <v>9.85582372875E12</v>
      </c>
      <c r="H19" s="26" t="n">
        <f>397869381000.0</f>
        <v>3.97869381E11</v>
      </c>
      <c r="I19" s="27" t="n">
        <f>0.4</f>
        <v>0.4</v>
      </c>
    </row>
    <row r="20" spans="1:9" ht="24.9" customHeight="1">
      <c r="A20" s="41"/>
      <c r="B20" s="39" t="s">
        <v>21</v>
      </c>
      <c r="C20" s="16" t="s">
        <v>15</v>
      </c>
      <c r="D20" s="17" t="n">
        <f>994478.0</f>
        <v>994478.0</v>
      </c>
      <c r="E20" s="18" t="n">
        <f>43545.0</f>
        <v>43545.0</v>
      </c>
      <c r="F20" s="19" t="n">
        <f>0.951</f>
        <v>0.951</v>
      </c>
      <c r="G20" s="17" t="n">
        <f>4370271706010.0</f>
        <v>4.37027170601E12</v>
      </c>
      <c r="H20" s="18" t="n">
        <f>327432619410.0</f>
        <v>3.2743261941E11</v>
      </c>
      <c r="I20" s="19" t="n">
        <f>0.582</f>
        <v>0.582</v>
      </c>
    </row>
    <row r="21" spans="1:9" ht="24.9" customHeight="1">
      <c r="A21" s="41"/>
      <c r="B21" s="39"/>
      <c r="C21" s="20" t="s">
        <v>16</v>
      </c>
      <c r="D21" s="21" t="n">
        <f>776155.0</f>
        <v>776155.0</v>
      </c>
      <c r="E21" s="22" t="n">
        <f>23118.0</f>
        <v>23118.0</v>
      </c>
      <c r="F21" s="23" t="n">
        <f>0.941</f>
        <v>0.941</v>
      </c>
      <c r="G21" s="21" t="n">
        <f>4636054258228.0</f>
        <v>4.636054258228E12</v>
      </c>
      <c r="H21" s="22" t="n">
        <f>308319104428.0</f>
        <v>3.08319104428E11</v>
      </c>
      <c r="I21" s="23" t="n">
        <f>0.548</f>
        <v>0.548</v>
      </c>
    </row>
    <row r="22" spans="1:9" ht="24.9" customHeight="1">
      <c r="A22" s="41"/>
      <c r="B22" s="39"/>
      <c r="C22" s="20" t="s">
        <v>17</v>
      </c>
      <c r="D22" s="21" t="n">
        <f>697730.0</f>
        <v>697730.0</v>
      </c>
      <c r="E22" s="22" t="n">
        <f>38406.0</f>
        <v>38406.0</v>
      </c>
      <c r="F22" s="23" t="n">
        <f>0.942</f>
        <v>0.942</v>
      </c>
      <c r="G22" s="21" t="n">
        <f>5334752165649.0</f>
        <v>5.334752165649E12</v>
      </c>
      <c r="H22" s="22" t="n">
        <f>859296387749.0</f>
        <v>8.59296387749E11</v>
      </c>
      <c r="I22" s="23" t="n">
        <f>0.614</f>
        <v>0.614</v>
      </c>
    </row>
    <row r="23" spans="1:9" ht="24.9" customHeight="1">
      <c r="A23" s="41"/>
      <c r="B23" s="39"/>
      <c r="C23" s="24" t="s">
        <v>18</v>
      </c>
      <c r="D23" s="25" t="n">
        <f>2468363.0</f>
        <v>2468363.0</v>
      </c>
      <c r="E23" s="26" t="n">
        <f>105069.0</f>
        <v>105069.0</v>
      </c>
      <c r="F23" s="27" t="n">
        <f>0.945</f>
        <v>0.945</v>
      </c>
      <c r="G23" s="25" t="n">
        <f>14341078129887.0</f>
        <v>1.4341078129887E13</v>
      </c>
      <c r="H23" s="26" t="n">
        <f>1495048111587.0</f>
        <v>1.495048111587E12</v>
      </c>
      <c r="I23" s="27" t="n">
        <f>0.582</f>
        <v>0.582</v>
      </c>
    </row>
    <row r="24" spans="1:9" ht="24.9" customHeight="1">
      <c r="A24" s="41"/>
      <c r="B24" s="39" t="s">
        <v>22</v>
      </c>
      <c r="C24" s="16" t="s">
        <v>15</v>
      </c>
      <c r="D24" s="17" t="n">
        <f>22876.0</f>
        <v>22876.0</v>
      </c>
      <c r="E24" s="18" t="n">
        <f>0.0</f>
        <v>0.0</v>
      </c>
      <c r="F24" s="19" t="n">
        <f>0.022</f>
        <v>0.022</v>
      </c>
      <c r="G24" s="17" t="n">
        <f>195263215950.0</f>
        <v>1.9526321595E11</v>
      </c>
      <c r="H24" s="18" t="n">
        <f>0.0</f>
        <v>0.0</v>
      </c>
      <c r="I24" s="19" t="n">
        <f>0.026</f>
        <v>0.026</v>
      </c>
    </row>
    <row r="25" spans="1:9" ht="24.9" customHeight="1">
      <c r="A25" s="41"/>
      <c r="B25" s="39"/>
      <c r="C25" s="20" t="s">
        <v>16</v>
      </c>
      <c r="D25" s="21" t="n">
        <f>13963.0</f>
        <v>13963.0</v>
      </c>
      <c r="E25" s="22" t="n">
        <f>0.0</f>
        <v>0.0</v>
      </c>
      <c r="F25" s="23" t="n">
        <f>0.017</f>
        <v>0.017</v>
      </c>
      <c r="G25" s="21" t="n">
        <f>142085060000.0</f>
        <v>1.4208506E11</v>
      </c>
      <c r="H25" s="22" t="n">
        <f>0.0</f>
        <v>0.0</v>
      </c>
      <c r="I25" s="23" t="n">
        <f>0.017</f>
        <v>0.017</v>
      </c>
    </row>
    <row r="26" spans="1:9" ht="24.9" customHeight="1">
      <c r="A26" s="41"/>
      <c r="B26" s="39"/>
      <c r="C26" s="20" t="s">
        <v>17</v>
      </c>
      <c r="D26" s="21" t="n">
        <f>13129.0</f>
        <v>13129.0</v>
      </c>
      <c r="E26" s="22" t="n">
        <f>79.0</f>
        <v>79.0</v>
      </c>
      <c r="F26" s="23" t="n">
        <f>0.018</f>
        <v>0.018</v>
      </c>
      <c r="G26" s="21" t="n">
        <f>115509072200.0</f>
        <v>1.155090722E11</v>
      </c>
      <c r="H26" s="22" t="n">
        <f>287981000.0</f>
        <v>2.87981E8</v>
      </c>
      <c r="I26" s="23" t="n">
        <f>0.013</f>
        <v>0.013</v>
      </c>
    </row>
    <row r="27" spans="1:9" ht="24.9" customHeight="1">
      <c r="A27" s="42"/>
      <c r="B27" s="39"/>
      <c r="C27" s="24" t="s">
        <v>18</v>
      </c>
      <c r="D27" s="25" t="n">
        <f>49968.0</f>
        <v>49968.0</v>
      </c>
      <c r="E27" s="26" t="n">
        <f>79.0</f>
        <v>79.0</v>
      </c>
      <c r="F27" s="27" t="n">
        <f>0.019</f>
        <v>0.019</v>
      </c>
      <c r="G27" s="25" t="n">
        <f>452857348150.0</f>
        <v>4.5285734815E11</v>
      </c>
      <c r="H27" s="26" t="n">
        <f>287981000.0</f>
        <v>2.87981E8</v>
      </c>
      <c r="I27" s="27" t="n">
        <f>0.018</f>
        <v>0.018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369.0</f>
        <v>369.0</v>
      </c>
      <c r="E28" s="18" t="n">
        <f>20.0</f>
        <v>20.0</v>
      </c>
      <c r="F28" s="19" t="n">
        <f>0.0</f>
        <v>0.0</v>
      </c>
      <c r="G28" s="17" t="n">
        <f>2146348100.0</f>
        <v>2.1463481E9</v>
      </c>
      <c r="H28" s="18" t="n">
        <f>368049600.0</f>
        <v>3.680496E8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180.0</f>
        <v>180.0</v>
      </c>
      <c r="E29" s="22" t="n">
        <f>0.0</f>
        <v>0.0</v>
      </c>
      <c r="F29" s="23" t="n">
        <f>0.0</f>
        <v>0.0</v>
      </c>
      <c r="G29" s="21" t="n">
        <f>884795000.0</f>
        <v>8.84795E8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1443.0</f>
        <v>1443.0</v>
      </c>
      <c r="E30" s="22" t="n">
        <f>240.0</f>
        <v>240.0</v>
      </c>
      <c r="F30" s="23" t="n">
        <f>0.002</f>
        <v>0.002</v>
      </c>
      <c r="G30" s="21" t="n">
        <f>6237350900.0</f>
        <v>6.2373509E9</v>
      </c>
      <c r="H30" s="22" t="n">
        <f>347846400.0</f>
        <v>3.478464E8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1992.0</f>
        <v>1992.0</v>
      </c>
      <c r="E31" s="26" t="n">
        <f>260.0</f>
        <v>260.0</v>
      </c>
      <c r="F31" s="27" t="n">
        <f>0.001</f>
        <v>0.001</v>
      </c>
      <c r="G31" s="25" t="n">
        <f>9268494000.0</f>
        <v>9.268494E9</v>
      </c>
      <c r="H31" s="26" t="n">
        <f>715896000.0</f>
        <v>7.15896E8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46318.0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46318.0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15565</f>
        <v>15565.0</v>
      </c>
      <c r="E11" s="18" t="n">
        <f>2523</f>
        <v>2523.0</v>
      </c>
      <c r="F11" s="19" t="n">
        <f>1</f>
        <v>1.0</v>
      </c>
      <c r="G11" s="17" t="n">
        <f>4928017480</f>
        <v>4.92801748E9</v>
      </c>
      <c r="H11" s="18" t="n">
        <f>2678304280</f>
        <v>2.67830428E9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47101</f>
        <v>47101.0</v>
      </c>
      <c r="E12" s="22" t="n">
        <f>5870</f>
        <v>5870.0</v>
      </c>
      <c r="F12" s="23" t="n">
        <f>1</f>
        <v>1.0</v>
      </c>
      <c r="G12" s="21" t="n">
        <f>11766007544</f>
        <v>1.1766007544E10</v>
      </c>
      <c r="H12" s="22" t="n">
        <f>7232680150</f>
        <v>7.23268015E9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52316</f>
        <v>52316.0</v>
      </c>
      <c r="E13" s="22" t="n">
        <f>20055</f>
        <v>20055.0</v>
      </c>
      <c r="F13" s="23" t="n">
        <f>1</f>
        <v>1.0</v>
      </c>
      <c r="G13" s="21" t="n">
        <f>27860284447</f>
        <v>2.7860284447E10</v>
      </c>
      <c r="H13" s="22" t="n">
        <f>20970591917</f>
        <v>2.0970591917E10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114982</f>
        <v>114982.0</v>
      </c>
      <c r="E14" s="26" t="n">
        <f>28448</f>
        <v>28448.0</v>
      </c>
      <c r="F14" s="27" t="n">
        <f>1</f>
        <v>1.0</v>
      </c>
      <c r="G14" s="25" t="n">
        <f>44554309471</f>
        <v>4.4554309471E10</v>
      </c>
      <c r="H14" s="26" t="n">
        <f>30881576347</f>
        <v>3.0881576347E10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24</f>
        <v>24.0</v>
      </c>
      <c r="E15" s="18" t="n">
        <f>0</f>
        <v>0.0</v>
      </c>
      <c r="F15" s="19" t="n">
        <f>0.002</f>
        <v>0.002</v>
      </c>
      <c r="G15" s="17" t="n">
        <f>320000</f>
        <v>320000.0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119</f>
        <v>119.0</v>
      </c>
      <c r="E16" s="22" t="n">
        <f>20</f>
        <v>20.0</v>
      </c>
      <c r="F16" s="23" t="n">
        <f>0.003</f>
        <v>0.003</v>
      </c>
      <c r="G16" s="21" t="n">
        <f>20030000</f>
        <v>2.003E7</v>
      </c>
      <c r="H16" s="22" t="n">
        <f>4350000</f>
        <v>4350000.0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115</f>
        <v>115.0</v>
      </c>
      <c r="E17" s="22" t="n">
        <f>0</f>
        <v>0.0</v>
      </c>
      <c r="F17" s="23" t="n">
        <f>0.002</f>
        <v>0.002</v>
      </c>
      <c r="G17" s="21" t="n">
        <f>17580000</f>
        <v>1.758E7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258</f>
        <v>258.0</v>
      </c>
      <c r="E18" s="26" t="n">
        <f>20</f>
        <v>20.0</v>
      </c>
      <c r="F18" s="27" t="n">
        <f>0.002</f>
        <v>0.002</v>
      </c>
      <c r="G18" s="25" t="n">
        <f>37930000</f>
        <v>3.793E7</v>
      </c>
      <c r="H18" s="26" t="n">
        <f>4350000</f>
        <v>4350000.0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15541</f>
        <v>15541.0</v>
      </c>
      <c r="E19" s="18" t="n">
        <f>2523</f>
        <v>2523.0</v>
      </c>
      <c r="F19" s="19" t="n">
        <f>0.998</f>
        <v>0.998</v>
      </c>
      <c r="G19" s="17" t="n">
        <f>4927697480</f>
        <v>4.92769748E9</v>
      </c>
      <c r="H19" s="18" t="n">
        <f>2678304280</f>
        <v>2.67830428E9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26277</f>
        <v>26277.0</v>
      </c>
      <c r="E20" s="22" t="n">
        <f>5850</f>
        <v>5850.0</v>
      </c>
      <c r="F20" s="23" t="n">
        <f>0.558</f>
        <v>0.558</v>
      </c>
      <c r="G20" s="21" t="n">
        <f>11728685450</f>
        <v>1.172868545E10</v>
      </c>
      <c r="H20" s="22" t="n">
        <f>7228330150</f>
        <v>7.22833015E9</v>
      </c>
      <c r="I20" s="23" t="n">
        <f>0.997</f>
        <v>0.997</v>
      </c>
    </row>
    <row r="21" spans="1:9" ht="24.9" customHeight="1">
      <c r="A21" s="41"/>
      <c r="B21" s="39"/>
      <c r="C21" s="20" t="s">
        <v>17</v>
      </c>
      <c r="D21" s="21" t="n">
        <f>45952</f>
        <v>45952.0</v>
      </c>
      <c r="E21" s="22" t="n">
        <f>20055</f>
        <v>20055.0</v>
      </c>
      <c r="F21" s="23" t="n">
        <f>0.878</f>
        <v>0.878</v>
      </c>
      <c r="G21" s="21" t="n">
        <f>27817200317</f>
        <v>2.7817200317E10</v>
      </c>
      <c r="H21" s="22" t="n">
        <f>20970591917</f>
        <v>2.0970591917E10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87770</f>
        <v>87770.0</v>
      </c>
      <c r="E22" s="26" t="n">
        <f>28428</f>
        <v>28428.0</v>
      </c>
      <c r="F22" s="27" t="n">
        <f>0.763</f>
        <v>0.763</v>
      </c>
      <c r="G22" s="25" t="n">
        <f>44473583247</f>
        <v>4.4473583247E10</v>
      </c>
      <c r="H22" s="26" t="n">
        <f>30877226347</f>
        <v>3.0877226347E10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20705</f>
        <v>20705.0</v>
      </c>
      <c r="E24" s="22" t="n">
        <f>0</f>
        <v>0.0</v>
      </c>
      <c r="F24" s="23" t="n">
        <f>0.44</f>
        <v>0.44</v>
      </c>
      <c r="G24" s="21" t="n">
        <f>17292094</f>
        <v>1.7292094E7</v>
      </c>
      <c r="H24" s="22" t="n">
        <f>0</f>
        <v>0.0</v>
      </c>
      <c r="I24" s="23" t="n">
        <f>0.001</f>
        <v>0.001</v>
      </c>
    </row>
    <row r="25" spans="1:9" ht="24.9" customHeight="1">
      <c r="A25" s="41"/>
      <c r="B25" s="39"/>
      <c r="C25" s="20" t="s">
        <v>17</v>
      </c>
      <c r="D25" s="21" t="n">
        <f>6249</f>
        <v>6249.0</v>
      </c>
      <c r="E25" s="22" t="n">
        <f>0</f>
        <v>0.0</v>
      </c>
      <c r="F25" s="23" t="n">
        <f>0.119</f>
        <v>0.119</v>
      </c>
      <c r="G25" s="21" t="n">
        <f>25504130</f>
        <v>2.550413E7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26954</f>
        <v>26954.0</v>
      </c>
      <c r="E26" s="26" t="n">
        <f>0</f>
        <v>0.0</v>
      </c>
      <c r="F26" s="27" t="n">
        <f>0.234</f>
        <v>0.234</v>
      </c>
      <c r="G26" s="25" t="n">
        <f>42796224</f>
        <v>4.2796224E7</v>
      </c>
      <c r="H26" s="26" t="n">
        <f>0</f>
        <v>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46318.0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46318.0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13349.0</v>
      </c>
      <c r="F12" s="18" t="n">
        <f>774</f>
        <v>774.0</v>
      </c>
      <c r="G12" s="17" t="n">
        <v>8.411924338E11</v>
      </c>
      <c r="H12" s="18" t="n">
        <f>48807883800</f>
        <v>4.88078838E10</v>
      </c>
    </row>
    <row r="13" spans="1:8" ht="24.9" customHeight="1">
      <c r="A13" s="51"/>
      <c r="B13" s="57"/>
      <c r="C13" s="39"/>
      <c r="D13" s="20" t="s">
        <v>16</v>
      </c>
      <c r="E13" s="21" t="n">
        <v>19489.0</v>
      </c>
      <c r="F13" s="22" t="n">
        <f>2708</f>
        <v>2708.0</v>
      </c>
      <c r="G13" s="21" t="n">
        <v>1.209562621428E12</v>
      </c>
      <c r="H13" s="22" t="n">
        <f>168518855428</f>
        <v>1.68518855428E11</v>
      </c>
    </row>
    <row r="14" spans="1:8" ht="24.9" customHeight="1">
      <c r="A14" s="51"/>
      <c r="B14" s="57"/>
      <c r="C14" s="39"/>
      <c r="D14" s="20" t="s">
        <v>17</v>
      </c>
      <c r="E14" s="21" t="n">
        <v>27088.0</v>
      </c>
      <c r="F14" s="22" t="n">
        <f>5574</f>
        <v>5574.0</v>
      </c>
      <c r="G14" s="21" t="n">
        <v>1.69322338108E12</v>
      </c>
      <c r="H14" s="22" t="n">
        <f>348826350080</f>
        <v>3.4882635008E11</v>
      </c>
    </row>
    <row r="15" spans="1:8" ht="24.9" customHeight="1">
      <c r="A15" s="51"/>
      <c r="B15" s="57"/>
      <c r="C15" s="39"/>
      <c r="D15" s="24" t="s">
        <v>18</v>
      </c>
      <c r="E15" s="25" t="n">
        <v>59926.0</v>
      </c>
      <c r="F15" s="26" t="n">
        <f>9056</f>
        <v>9056.0</v>
      </c>
      <c r="G15" s="25" t="n">
        <v>3.743978436308E12</v>
      </c>
      <c r="H15" s="26" t="n">
        <f>566153089308</f>
        <v>5.66153089308E11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398843.0</v>
      </c>
      <c r="F16" s="18" t="n">
        <f>42082</f>
        <v>42082.0</v>
      </c>
      <c r="G16" s="17" t="n">
        <v>2.51357056292E12</v>
      </c>
      <c r="H16" s="18" t="n">
        <f>265244184420</f>
        <v>2.6524418442E11</v>
      </c>
    </row>
    <row r="17" spans="1:8" ht="24.9" customHeight="1">
      <c r="A17" s="51"/>
      <c r="B17" s="57"/>
      <c r="C17" s="39"/>
      <c r="D17" s="20" t="s">
        <v>16</v>
      </c>
      <c r="E17" s="21" t="n">
        <v>307851.0</v>
      </c>
      <c r="F17" s="22" t="n">
        <f>19546</f>
        <v>19546.0</v>
      </c>
      <c r="G17" s="21" t="n">
        <v>1.90988249285E12</v>
      </c>
      <c r="H17" s="22" t="n">
        <f>121243408350</f>
        <v>1.2124340835E11</v>
      </c>
    </row>
    <row r="18" spans="1:8" ht="24.9" customHeight="1">
      <c r="A18" s="51"/>
      <c r="B18" s="57"/>
      <c r="C18" s="39"/>
      <c r="D18" s="20" t="s">
        <v>17</v>
      </c>
      <c r="E18" s="21" t="n">
        <v>274600.0</v>
      </c>
      <c r="F18" s="22" t="n">
        <f>22894</f>
        <v>22894.0</v>
      </c>
      <c r="G18" s="21" t="n">
        <v>1.71429678652E12</v>
      </c>
      <c r="H18" s="22" t="n">
        <f>142892944020</f>
        <v>1.4289294402E11</v>
      </c>
    </row>
    <row r="19" spans="1:8" ht="24.9" customHeight="1">
      <c r="A19" s="51"/>
      <c r="B19" s="57"/>
      <c r="C19" s="39"/>
      <c r="D19" s="24" t="s">
        <v>18</v>
      </c>
      <c r="E19" s="25" t="n">
        <v>981294.0</v>
      </c>
      <c r="F19" s="26" t="n">
        <f>84522</f>
        <v>84522.0</v>
      </c>
      <c r="G19" s="25" t="n">
        <v>6.13774984229E12</v>
      </c>
      <c r="H19" s="26" t="n">
        <f>529380536790</f>
        <v>5.2938053679E11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556781.0</v>
      </c>
      <c r="F20" s="18" t="str">
        <f>"－"</f>
        <v>－</v>
      </c>
      <c r="G20" s="17" t="n">
        <v>3.509065505E11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398066.0</v>
      </c>
      <c r="F21" s="22" t="str">
        <f>"－"</f>
        <v>－</v>
      </c>
      <c r="G21" s="21" t="n">
        <v>2.469321373E11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339225.0</v>
      </c>
      <c r="F22" s="22" t="str">
        <f>"－"</f>
        <v>－</v>
      </c>
      <c r="G22" s="21" t="n">
        <v>2.1165287885E11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1294072.0</v>
      </c>
      <c r="F23" s="26" t="str">
        <f>"－"</f>
        <v>－</v>
      </c>
      <c r="G23" s="25" t="n">
        <v>8.0949156665E11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15765.0</v>
      </c>
      <c r="F24" s="18" t="n">
        <f>296</f>
        <v>296.0</v>
      </c>
      <c r="G24" s="17" t="n">
        <v>6.30860793E11</v>
      </c>
      <c r="H24" s="18" t="n">
        <f>11854648000</f>
        <v>1.1854648E10</v>
      </c>
    </row>
    <row r="25" spans="1:8" ht="24.9" customHeight="1">
      <c r="A25" s="51"/>
      <c r="B25" s="57"/>
      <c r="C25" s="39"/>
      <c r="D25" s="20" t="s">
        <v>16</v>
      </c>
      <c r="E25" s="21" t="n">
        <v>30298.0</v>
      </c>
      <c r="F25" s="22" t="n">
        <f>430</f>
        <v>430.0</v>
      </c>
      <c r="G25" s="21" t="n">
        <v>1.1958860315E12</v>
      </c>
      <c r="H25" s="22" t="n">
        <f>16961986500</f>
        <v>1.69619865E10</v>
      </c>
    </row>
    <row r="26" spans="1:8" ht="24.9" customHeight="1">
      <c r="A26" s="51"/>
      <c r="B26" s="57"/>
      <c r="C26" s="39"/>
      <c r="D26" s="20" t="s">
        <v>17</v>
      </c>
      <c r="E26" s="21" t="n">
        <v>42140.0</v>
      </c>
      <c r="F26" s="22" t="n">
        <f>9203</f>
        <v>9203.0</v>
      </c>
      <c r="G26" s="21" t="n">
        <v>1.6676291328E12</v>
      </c>
      <c r="H26" s="22" t="n">
        <f>365449122800</f>
        <v>3.654491228E11</v>
      </c>
    </row>
    <row r="27" spans="1:8" ht="24.9" customHeight="1">
      <c r="A27" s="51"/>
      <c r="B27" s="57"/>
      <c r="C27" s="39"/>
      <c r="D27" s="24" t="s">
        <v>18</v>
      </c>
      <c r="E27" s="25" t="n">
        <v>88203.0</v>
      </c>
      <c r="F27" s="26" t="n">
        <f>9929</f>
        <v>9929.0</v>
      </c>
      <c r="G27" s="25" t="n">
        <v>3.4943759573E12</v>
      </c>
      <c r="H27" s="26" t="n">
        <f>394265757300</f>
        <v>3.942657573E11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6735.0</v>
      </c>
      <c r="F28" s="18" t="n">
        <f>369</f>
        <v>369.0</v>
      </c>
      <c r="G28" s="17" t="n">
        <v>2.69526227E10</v>
      </c>
      <c r="H28" s="18" t="n">
        <f>1476651200</f>
        <v>1.4766512E9</v>
      </c>
    </row>
    <row r="29" spans="1:8" ht="24.9" customHeight="1">
      <c r="A29" s="51"/>
      <c r="B29" s="57"/>
      <c r="C29" s="39"/>
      <c r="D29" s="20" t="s">
        <v>16</v>
      </c>
      <c r="E29" s="21" t="n">
        <v>16162.0</v>
      </c>
      <c r="F29" s="22" t="n">
        <f>359</f>
        <v>359.0</v>
      </c>
      <c r="G29" s="21" t="n">
        <v>6.387792965E10</v>
      </c>
      <c r="H29" s="22" t="n">
        <f>1416313150</f>
        <v>1.41631315E9</v>
      </c>
    </row>
    <row r="30" spans="1:8" ht="24.9" customHeight="1">
      <c r="A30" s="51"/>
      <c r="B30" s="57"/>
      <c r="C30" s="39"/>
      <c r="D30" s="20" t="s">
        <v>17</v>
      </c>
      <c r="E30" s="21" t="n">
        <v>9818.0</v>
      </c>
      <c r="F30" s="22" t="n">
        <f>366</f>
        <v>366.0</v>
      </c>
      <c r="G30" s="21" t="n">
        <v>3.883601505E10</v>
      </c>
      <c r="H30" s="22" t="n">
        <f>1449579800</f>
        <v>1.4495798E9</v>
      </c>
    </row>
    <row r="31" spans="1:8" ht="24.9" customHeight="1">
      <c r="A31" s="51"/>
      <c r="B31" s="57"/>
      <c r="C31" s="39"/>
      <c r="D31" s="24" t="s">
        <v>18</v>
      </c>
      <c r="E31" s="25" t="n">
        <v>32715.0</v>
      </c>
      <c r="F31" s="26" t="n">
        <f>1094</f>
        <v>1094.0</v>
      </c>
      <c r="G31" s="25" t="n">
        <v>1.296665674E11</v>
      </c>
      <c r="H31" s="26" t="n">
        <f>4342544150</f>
        <v>4.34254415E9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863.0</v>
      </c>
      <c r="F36" s="18" t="n">
        <f>3</f>
        <v>3.0</v>
      </c>
      <c r="G36" s="17" t="n">
        <v>3.13621751E9</v>
      </c>
      <c r="H36" s="18" t="n">
        <f>10918510</f>
        <v>1.091851E7</v>
      </c>
    </row>
    <row r="37" spans="1:8" ht="24.9" customHeight="1">
      <c r="A37" s="51"/>
      <c r="B37" s="57"/>
      <c r="C37" s="39"/>
      <c r="D37" s="20" t="s">
        <v>16</v>
      </c>
      <c r="E37" s="21" t="n">
        <v>2014.0</v>
      </c>
      <c r="F37" s="22" t="n">
        <f>4</f>
        <v>4.0</v>
      </c>
      <c r="G37" s="21" t="n">
        <v>7.240947E9</v>
      </c>
      <c r="H37" s="22" t="n">
        <f>14374500</f>
        <v>1.43745E7</v>
      </c>
    </row>
    <row r="38" spans="1:8" ht="24.9" customHeight="1">
      <c r="A38" s="51"/>
      <c r="B38" s="57"/>
      <c r="C38" s="39"/>
      <c r="D38" s="20" t="s">
        <v>17</v>
      </c>
      <c r="E38" s="21" t="n">
        <v>1586.0</v>
      </c>
      <c r="F38" s="22" t="n">
        <f>46</f>
        <v>46.0</v>
      </c>
      <c r="G38" s="21" t="n">
        <v>5.705801089E9</v>
      </c>
      <c r="H38" s="22" t="n">
        <f>166017589</f>
        <v>1.66017589E8</v>
      </c>
    </row>
    <row r="39" spans="1:8" ht="24.9" customHeight="1">
      <c r="A39" s="51"/>
      <c r="B39" s="57"/>
      <c r="C39" s="39"/>
      <c r="D39" s="24" t="s">
        <v>18</v>
      </c>
      <c r="E39" s="25" t="n">
        <v>4463.0</v>
      </c>
      <c r="F39" s="26" t="n">
        <f>53</f>
        <v>53.0</v>
      </c>
      <c r="G39" s="25" t="n">
        <v>1.6082965599E10</v>
      </c>
      <c r="H39" s="26" t="n">
        <f>191310599</f>
        <v>1.91310599E8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16.0</v>
      </c>
      <c r="F45" s="22" t="n">
        <f>16</f>
        <v>16.0</v>
      </c>
      <c r="G45" s="21" t="n">
        <v>1.0544E8</v>
      </c>
      <c r="H45" s="22" t="n">
        <f>105440000</f>
        <v>1.0544E8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16.0</v>
      </c>
      <c r="F47" s="26" t="n">
        <f>16</f>
        <v>16.0</v>
      </c>
      <c r="G47" s="25" t="n">
        <v>1.0544E8</v>
      </c>
      <c r="H47" s="26" t="n">
        <f>105440000</f>
        <v>1.0544E8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5.0</v>
      </c>
      <c r="F48" s="18" t="n">
        <f>5</f>
        <v>5.0</v>
      </c>
      <c r="G48" s="17" t="n">
        <v>8275000.0</v>
      </c>
      <c r="H48" s="18" t="n">
        <f>8275000</f>
        <v>8275000.0</v>
      </c>
    </row>
    <row r="49" spans="1:8" ht="24.9" customHeight="1">
      <c r="A49" s="51"/>
      <c r="B49" s="57"/>
      <c r="C49" s="39"/>
      <c r="D49" s="20" t="s">
        <v>16</v>
      </c>
      <c r="E49" s="21" t="n">
        <v>302.0</v>
      </c>
      <c r="F49" s="22" t="n">
        <f>0</f>
        <v>0.0</v>
      </c>
      <c r="G49" s="21" t="n">
        <v>5.026695E8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440.0</v>
      </c>
      <c r="F50" s="22" t="n">
        <f>296</f>
        <v>296.0</v>
      </c>
      <c r="G50" s="21" t="n">
        <v>7.3192893E8</v>
      </c>
      <c r="H50" s="22" t="n">
        <f>492181430</f>
        <v>4.9218143E8</v>
      </c>
    </row>
    <row r="51" spans="1:8" ht="24.9" customHeight="1">
      <c r="A51" s="51"/>
      <c r="B51" s="57"/>
      <c r="C51" s="39"/>
      <c r="D51" s="24" t="s">
        <v>18</v>
      </c>
      <c r="E51" s="25" t="n">
        <v>747.0</v>
      </c>
      <c r="F51" s="26" t="n">
        <f>301</f>
        <v>301.0</v>
      </c>
      <c r="G51" s="25" t="n">
        <v>1.24287343E9</v>
      </c>
      <c r="H51" s="26" t="n">
        <f>500456430</f>
        <v>5.0045643E8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625.0</v>
      </c>
      <c r="F56" s="18" t="n">
        <f>12</f>
        <v>12.0</v>
      </c>
      <c r="G56" s="17" t="n">
        <v>4.661581E8</v>
      </c>
      <c r="H56" s="18" t="n">
        <f>8949100</f>
        <v>8949100.0</v>
      </c>
    </row>
    <row r="57" spans="1:8" ht="24.9" customHeight="1">
      <c r="A57" s="51"/>
      <c r="B57" s="57"/>
      <c r="C57" s="39"/>
      <c r="D57" s="20" t="s">
        <v>16</v>
      </c>
      <c r="E57" s="21" t="n">
        <v>1420.0</v>
      </c>
      <c r="F57" s="22" t="n">
        <f>51</f>
        <v>51.0</v>
      </c>
      <c r="G57" s="21" t="n">
        <v>1.0444379E9</v>
      </c>
      <c r="H57" s="22" t="n">
        <f>37492900</f>
        <v>3.74929E7</v>
      </c>
    </row>
    <row r="58" spans="1:8" ht="24.9" customHeight="1">
      <c r="A58" s="51"/>
      <c r="B58" s="57"/>
      <c r="C58" s="39"/>
      <c r="D58" s="20" t="s">
        <v>17</v>
      </c>
      <c r="E58" s="21" t="n">
        <v>2475.0</v>
      </c>
      <c r="F58" s="22" t="n">
        <f>27</f>
        <v>27.0</v>
      </c>
      <c r="G58" s="21" t="n">
        <v>1.84129003E9</v>
      </c>
      <c r="H58" s="22" t="n">
        <f>20192030</f>
        <v>2.019203E7</v>
      </c>
    </row>
    <row r="59" spans="1:8" ht="24.9" customHeight="1">
      <c r="A59" s="51"/>
      <c r="B59" s="57"/>
      <c r="C59" s="39"/>
      <c r="D59" s="24" t="s">
        <v>18</v>
      </c>
      <c r="E59" s="25" t="n">
        <v>4520.0</v>
      </c>
      <c r="F59" s="26" t="n">
        <f>90</f>
        <v>90.0</v>
      </c>
      <c r="G59" s="25" t="n">
        <v>3.35188603E9</v>
      </c>
      <c r="H59" s="26" t="n">
        <f>66634030</f>
        <v>6.663403E7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210.0</v>
      </c>
      <c r="F60" s="18" t="n">
        <f>4</f>
        <v>4.0</v>
      </c>
      <c r="G60" s="17" t="n">
        <v>1.11083608E9</v>
      </c>
      <c r="H60" s="18" t="n">
        <f>21109380</f>
        <v>2.110938E7</v>
      </c>
    </row>
    <row r="61" spans="1:8" ht="24.9" customHeight="1">
      <c r="A61" s="51"/>
      <c r="B61" s="57"/>
      <c r="C61" s="39"/>
      <c r="D61" s="20" t="s">
        <v>16</v>
      </c>
      <c r="E61" s="21" t="n">
        <v>38.0</v>
      </c>
      <c r="F61" s="22" t="n">
        <f>4</f>
        <v>4.0</v>
      </c>
      <c r="G61" s="21" t="n">
        <v>2.016391E8</v>
      </c>
      <c r="H61" s="22" t="n">
        <f>21233600</f>
        <v>2.12336E7</v>
      </c>
    </row>
    <row r="62" spans="1:8" ht="24.9" customHeight="1">
      <c r="A62" s="51"/>
      <c r="B62" s="57"/>
      <c r="C62" s="39"/>
      <c r="D62" s="20" t="s">
        <v>17</v>
      </c>
      <c r="E62" s="21" t="n">
        <v>74.0</v>
      </c>
      <c r="F62" s="22" t="n">
        <f>0</f>
        <v>0.0</v>
      </c>
      <c r="G62" s="21" t="n">
        <v>3.916128E8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322.0</v>
      </c>
      <c r="F63" s="26" t="n">
        <f>8</f>
        <v>8.0</v>
      </c>
      <c r="G63" s="25" t="n">
        <v>1.70408798E9</v>
      </c>
      <c r="H63" s="26" t="n">
        <f>42342980</f>
        <v>4.234298E7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10.0</v>
      </c>
      <c r="F73" s="22" t="n">
        <f>0</f>
        <v>0.0</v>
      </c>
      <c r="G73" s="21" t="n">
        <v>1.28E7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10.0</v>
      </c>
      <c r="F75" s="26" t="n">
        <f>0</f>
        <v>0.0</v>
      </c>
      <c r="G75" s="25" t="n">
        <v>1.28E7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330000.0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35.0</v>
      </c>
      <c r="F77" s="22" t="n">
        <f>0</f>
        <v>0.0</v>
      </c>
      <c r="G77" s="21" t="n">
        <v>1.2505E7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7.0</v>
      </c>
      <c r="F78" s="22" t="n">
        <f>0</f>
        <v>0.0</v>
      </c>
      <c r="G78" s="21" t="n">
        <v>2514500.0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43.0</v>
      </c>
      <c r="F79" s="26" t="n">
        <f>0</f>
        <v>0.0</v>
      </c>
      <c r="G79" s="25" t="n">
        <v>1.53495E7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1251.0</v>
      </c>
      <c r="F92" s="18" t="n">
        <f>0</f>
        <v>0.0</v>
      </c>
      <c r="G92" s="17" t="n">
        <v>1.9552744E9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346.0</v>
      </c>
      <c r="F93" s="22" t="n">
        <f>0</f>
        <v>0.0</v>
      </c>
      <c r="G93" s="21" t="n">
        <v>5.393843E8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267.0</v>
      </c>
      <c r="F94" s="22" t="n">
        <f>0</f>
        <v>0.0</v>
      </c>
      <c r="G94" s="21" t="n">
        <v>4.17315E8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1864.0</v>
      </c>
      <c r="F95" s="26" t="n">
        <f>0</f>
        <v>0.0</v>
      </c>
      <c r="G95" s="25" t="n">
        <v>2.9119737E9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40.0</v>
      </c>
      <c r="F96" s="18" t="n">
        <f>0</f>
        <v>0.0</v>
      </c>
      <c r="G96" s="17" t="n">
        <v>9.4092E7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108.0</v>
      </c>
      <c r="F97" s="22" t="n">
        <f>0</f>
        <v>0.0</v>
      </c>
      <c r="G97" s="21" t="n">
        <v>2.532227E8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10.0</v>
      </c>
      <c r="F98" s="22" t="n">
        <f>0</f>
        <v>0.0</v>
      </c>
      <c r="G98" s="21" t="n">
        <v>2.3509E7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158.0</v>
      </c>
      <c r="F99" s="26" t="n">
        <f>0</f>
        <v>0.0</v>
      </c>
      <c r="G99" s="25" t="n">
        <v>3.708237E8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10.0</v>
      </c>
      <c r="F100" s="18" t="n">
        <f>0</f>
        <v>0.0</v>
      </c>
      <c r="G100" s="17" t="n">
        <v>1.756E7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10.0</v>
      </c>
      <c r="F103" s="26" t="n">
        <f>0</f>
        <v>0.0</v>
      </c>
      <c r="G103" s="25" t="n">
        <v>1.756E7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22204.0</v>
      </c>
      <c r="F108" s="18" t="n">
        <f>320</f>
        <v>320.0</v>
      </c>
      <c r="G108" s="17" t="n">
        <v>2.80206871E12</v>
      </c>
      <c r="H108" s="18" t="n">
        <f>40328200000</f>
        <v>4.03282E10</v>
      </c>
    </row>
    <row r="109" spans="1:8" ht="24.9" customHeight="1">
      <c r="A109" s="51"/>
      <c r="B109" s="57"/>
      <c r="C109" s="39"/>
      <c r="D109" s="20" t="s">
        <v>16</v>
      </c>
      <c r="E109" s="21" t="n">
        <v>28109.0</v>
      </c>
      <c r="F109" s="22" t="n">
        <f>1596</f>
        <v>1596.0</v>
      </c>
      <c r="G109" s="21" t="n">
        <v>3.562342945E12</v>
      </c>
      <c r="H109" s="22" t="n">
        <f>202220195000</f>
        <v>2.02220195E11</v>
      </c>
    </row>
    <row r="110" spans="1:8" ht="24.9" customHeight="1">
      <c r="A110" s="51"/>
      <c r="B110" s="57"/>
      <c r="C110" s="39"/>
      <c r="D110" s="20" t="s">
        <v>17</v>
      </c>
      <c r="E110" s="21" t="n">
        <v>25116.0</v>
      </c>
      <c r="F110" s="22" t="n">
        <f>1178</f>
        <v>1178.0</v>
      </c>
      <c r="G110" s="21" t="n">
        <v>3.18211877E12</v>
      </c>
      <c r="H110" s="22" t="n">
        <f>149291490000</f>
        <v>1.4929149E11</v>
      </c>
    </row>
    <row r="111" spans="1:8" ht="24.9" customHeight="1">
      <c r="A111" s="51"/>
      <c r="B111" s="57"/>
      <c r="C111" s="39"/>
      <c r="D111" s="24" t="s">
        <v>18</v>
      </c>
      <c r="E111" s="25" t="n">
        <v>75429.0</v>
      </c>
      <c r="F111" s="26" t="n">
        <f>3094</f>
        <v>3094.0</v>
      </c>
      <c r="G111" s="25" t="n">
        <v>9.546530425E12</v>
      </c>
      <c r="H111" s="26" t="n">
        <f>391839885000</f>
        <v>3.91839885E11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3531.0</v>
      </c>
      <c r="F113" s="22" t="n">
        <f>0</f>
        <v>0.0</v>
      </c>
      <c r="G113" s="21" t="n">
        <v>4.4731971E10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2342.0</v>
      </c>
      <c r="F114" s="22" t="n">
        <f>0</f>
        <v>0.0</v>
      </c>
      <c r="G114" s="21" t="n">
        <v>2.9687548E10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5873.0</v>
      </c>
      <c r="F115" s="26" t="n">
        <f>0</f>
        <v>0.0</v>
      </c>
      <c r="G115" s="25" t="n">
        <v>7.4419519E10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682.0</v>
      </c>
      <c r="F118" s="22" t="n">
        <f>662</f>
        <v>662.0</v>
      </c>
      <c r="G118" s="21" t="n">
        <v>6.211666E9</v>
      </c>
      <c r="H118" s="22" t="n">
        <f>6029496000</f>
        <v>6.029496E9</v>
      </c>
    </row>
    <row r="119" spans="1:8" ht="24.9" customHeight="1">
      <c r="A119" s="51"/>
      <c r="B119" s="58"/>
      <c r="C119" s="39"/>
      <c r="D119" s="24" t="s">
        <v>18</v>
      </c>
      <c r="E119" s="25" t="n">
        <v>682.0</v>
      </c>
      <c r="F119" s="26" t="n">
        <f>662</f>
        <v>662.0</v>
      </c>
      <c r="G119" s="25" t="n">
        <v>6.211666E9</v>
      </c>
      <c r="H119" s="26" t="n">
        <f>6029496000</f>
        <v>6.029496E9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5486.0</v>
      </c>
      <c r="F120" s="18" t="n">
        <f>0</f>
        <v>0.0</v>
      </c>
      <c r="G120" s="17" t="n">
        <v>1.3493422375E11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3214.0</v>
      </c>
      <c r="F121" s="22" t="n">
        <f>0</f>
        <v>0.0</v>
      </c>
      <c r="G121" s="21" t="n">
        <v>7.9152755E10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592.0</v>
      </c>
      <c r="F122" s="22" t="n">
        <f>0</f>
        <v>0.0</v>
      </c>
      <c r="G122" s="21" t="n">
        <v>1.457514E10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9292.0</v>
      </c>
      <c r="F123" s="26" t="n">
        <f>0</f>
        <v>0.0</v>
      </c>
      <c r="G123" s="25" t="n">
        <v>2.2866211875E11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7937.0</v>
      </c>
      <c r="F124" s="18" t="n">
        <f>0</f>
        <v>0.0</v>
      </c>
      <c r="G124" s="17" t="n">
        <v>1.66281073E11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6041.0</v>
      </c>
      <c r="F125" s="22" t="n">
        <f>0</f>
        <v>0.0</v>
      </c>
      <c r="G125" s="21" t="n">
        <v>1.24366609E11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4682.0</v>
      </c>
      <c r="F126" s="22" t="n">
        <f>7</f>
        <v>7.0</v>
      </c>
      <c r="G126" s="21" t="n">
        <v>9.649337E10</v>
      </c>
      <c r="H126" s="22" t="n">
        <f>141956000</f>
        <v>1.41956E8</v>
      </c>
    </row>
    <row r="127" spans="1:8" ht="24.9" customHeight="1">
      <c r="A127" s="51"/>
      <c r="B127" s="57"/>
      <c r="C127" s="39"/>
      <c r="D127" s="24" t="s">
        <v>18</v>
      </c>
      <c r="E127" s="25" t="n">
        <v>18660.0</v>
      </c>
      <c r="F127" s="26" t="n">
        <f>7</f>
        <v>7.0</v>
      </c>
      <c r="G127" s="25" t="n">
        <v>3.87141052E11</v>
      </c>
      <c r="H127" s="26" t="n">
        <f>141956000</f>
        <v>1.41956E8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726.0</v>
      </c>
      <c r="F128" s="18" t="n">
        <f>0</f>
        <v>0.0</v>
      </c>
      <c r="G128" s="17" t="n">
        <v>1.5025265E9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257.0</v>
      </c>
      <c r="F129" s="22" t="n">
        <f>0</f>
        <v>0.0</v>
      </c>
      <c r="G129" s="21" t="n">
        <v>5.224948E8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334.0</v>
      </c>
      <c r="F130" s="22" t="n">
        <f>0</f>
        <v>0.0</v>
      </c>
      <c r="G130" s="21" t="n">
        <v>6.78365E8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1317.0</v>
      </c>
      <c r="F131" s="26" t="n">
        <f>0</f>
        <v>0.0</v>
      </c>
      <c r="G131" s="25" t="n">
        <v>2.7033863E9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9449.0</v>
      </c>
      <c r="F132" s="18" t="n">
        <f>0</f>
        <v>0.0</v>
      </c>
      <c r="G132" s="17" t="n">
        <v>1.98490535E10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5288.0</v>
      </c>
      <c r="F133" s="22" t="n">
        <f>0</f>
        <v>0.0</v>
      </c>
      <c r="G133" s="21" t="n">
        <v>1.093213395E10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4383.0</v>
      </c>
      <c r="F134" s="22" t="n">
        <f>60</f>
        <v>60.0</v>
      </c>
      <c r="G134" s="21" t="n">
        <v>9.0648853E9</v>
      </c>
      <c r="H134" s="22" t="n">
        <f>121314000</f>
        <v>1.21314E8</v>
      </c>
    </row>
    <row r="135" spans="1:8" ht="24.9" customHeight="1">
      <c r="A135" s="51"/>
      <c r="B135" s="57"/>
      <c r="C135" s="39"/>
      <c r="D135" s="24" t="s">
        <v>18</v>
      </c>
      <c r="E135" s="25" t="n">
        <v>19120.0</v>
      </c>
      <c r="F135" s="26" t="n">
        <f>60</f>
        <v>60.0</v>
      </c>
      <c r="G135" s="25" t="n">
        <v>3.984607275E10</v>
      </c>
      <c r="H135" s="26" t="n">
        <f>121314000</f>
        <v>1.21314E8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115.0</v>
      </c>
      <c r="F136" s="18" t="n">
        <f>0</f>
        <v>0.0</v>
      </c>
      <c r="G136" s="17" t="n">
        <v>2.345193E8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70.0</v>
      </c>
      <c r="F137" s="22" t="n">
        <f>0</f>
        <v>0.0</v>
      </c>
      <c r="G137" s="21" t="n">
        <v>1.402306E8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157.0</v>
      </c>
      <c r="F138" s="22" t="n">
        <f>10</f>
        <v>10.0</v>
      </c>
      <c r="G138" s="21" t="n">
        <v>3.151921E8</v>
      </c>
      <c r="H138" s="22" t="n">
        <f>20340000</f>
        <v>2.034E7</v>
      </c>
    </row>
    <row r="139" spans="1:8" ht="24.9" customHeight="1">
      <c r="A139" s="51"/>
      <c r="B139" s="57"/>
      <c r="C139" s="39"/>
      <c r="D139" s="24" t="s">
        <v>18</v>
      </c>
      <c r="E139" s="25" t="n">
        <v>342.0</v>
      </c>
      <c r="F139" s="26" t="n">
        <f>10</f>
        <v>10.0</v>
      </c>
      <c r="G139" s="25" t="n">
        <v>6.89942E8</v>
      </c>
      <c r="H139" s="26" t="n">
        <f>20340000</f>
        <v>2.034E7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4.0</v>
      </c>
      <c r="F141" s="22" t="n">
        <f>0</f>
        <v>0.0</v>
      </c>
      <c r="G141" s="21" t="n">
        <v>3.2361E7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2.0</v>
      </c>
      <c r="F142" s="22" t="n">
        <f>0</f>
        <v>0.0</v>
      </c>
      <c r="G142" s="21" t="n">
        <v>1.6236E7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6.0</v>
      </c>
      <c r="F143" s="26" t="n">
        <f>0</f>
        <v>0.0</v>
      </c>
      <c r="G143" s="25" t="n">
        <v>4.8597E7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1049.0</v>
      </c>
      <c r="F144" s="18" t="n">
        <f>0</f>
        <v>0.0</v>
      </c>
      <c r="G144" s="17" t="n">
        <v>4.073147E9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1310.0</v>
      </c>
      <c r="F145" s="22" t="n">
        <f>0</f>
        <v>0.0</v>
      </c>
      <c r="G145" s="21" t="n">
        <v>5.0031745E9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1943.0</v>
      </c>
      <c r="F146" s="22" t="n">
        <f>0</f>
        <v>0.0</v>
      </c>
      <c r="G146" s="21" t="n">
        <v>7.473262E9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4302.0</v>
      </c>
      <c r="F147" s="26" t="n">
        <f>0</f>
        <v>0.0</v>
      </c>
      <c r="G147" s="25" t="n">
        <v>1.65495835E10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2723.0</v>
      </c>
      <c r="F148" s="18" t="n">
        <f>0</f>
        <v>0.0</v>
      </c>
      <c r="G148" s="17" t="n">
        <v>2.1838563E9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249.0</v>
      </c>
      <c r="F149" s="22" t="n">
        <f>0</f>
        <v>0.0</v>
      </c>
      <c r="G149" s="21" t="n">
        <v>1.959779E8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576.0</v>
      </c>
      <c r="F150" s="22" t="n">
        <f>0</f>
        <v>0.0</v>
      </c>
      <c r="G150" s="21" t="n">
        <v>4.539987E8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3548.0</v>
      </c>
      <c r="F151" s="26" t="n">
        <f>0</f>
        <v>0.0</v>
      </c>
      <c r="G151" s="25" t="n">
        <v>2.8338329E9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462.0</v>
      </c>
      <c r="F152" s="18" t="n">
        <f>0</f>
        <v>0.0</v>
      </c>
      <c r="G152" s="17" t="n">
        <v>3.5975165E8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389.0</v>
      </c>
      <c r="F153" s="22" t="n">
        <f>0</f>
        <v>0.0</v>
      </c>
      <c r="G153" s="21" t="n">
        <v>2.9679855E8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596.0</v>
      </c>
      <c r="F154" s="22" t="n">
        <f>0</f>
        <v>0.0</v>
      </c>
      <c r="G154" s="21" t="n">
        <v>4.571581E8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1447.0</v>
      </c>
      <c r="F155" s="26" t="n">
        <f>0</f>
        <v>0.0</v>
      </c>
      <c r="G155" s="25" t="n">
        <v>1.1137083E9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103.0</v>
      </c>
      <c r="F156" s="18" t="n">
        <f>0</f>
        <v>0.0</v>
      </c>
      <c r="G156" s="17" t="n">
        <v>8.05827E7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133.0</v>
      </c>
      <c r="F157" s="22" t="n">
        <f>0</f>
        <v>0.0</v>
      </c>
      <c r="G157" s="21" t="n">
        <v>1.024012E8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316.0</v>
      </c>
      <c r="F158" s="22" t="n">
        <f>0</f>
        <v>0.0</v>
      </c>
      <c r="G158" s="21" t="n">
        <v>2.44108E8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552.0</v>
      </c>
      <c r="F159" s="26" t="n">
        <f>0</f>
        <v>0.0</v>
      </c>
      <c r="G159" s="25" t="n">
        <v>4.270919E8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308.0</v>
      </c>
      <c r="F168" s="18" t="n">
        <f>0</f>
        <v>0.0</v>
      </c>
      <c r="G168" s="17" t="n">
        <v>6.90856E8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218.0</v>
      </c>
      <c r="F169" s="22" t="n">
        <f>0</f>
        <v>0.0</v>
      </c>
      <c r="G169" s="21" t="n">
        <v>4.850105E8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136.0</v>
      </c>
      <c r="F170" s="22" t="n">
        <f>2</f>
        <v>2.0</v>
      </c>
      <c r="G170" s="21" t="n">
        <v>3.04641E8</v>
      </c>
      <c r="H170" s="22" t="n">
        <f>4371000</f>
        <v>4371000.0</v>
      </c>
    </row>
    <row r="171" spans="1:8" ht="24.9" customHeight="1">
      <c r="A171" s="51"/>
      <c r="B171" s="57"/>
      <c r="C171" s="39"/>
      <c r="D171" s="24" t="s">
        <v>18</v>
      </c>
      <c r="E171" s="25" t="n">
        <v>662.0</v>
      </c>
      <c r="F171" s="26" t="n">
        <f>2</f>
        <v>2.0</v>
      </c>
      <c r="G171" s="25" t="n">
        <v>1.4805075E9</v>
      </c>
      <c r="H171" s="26" t="n">
        <f>4371000</f>
        <v>4371000.0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7850000.0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4.0</v>
      </c>
      <c r="F177" s="22" t="n">
        <f>0</f>
        <v>0.0</v>
      </c>
      <c r="G177" s="21" t="n">
        <v>7868000.0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4.0</v>
      </c>
      <c r="F178" s="22" t="n">
        <f>0</f>
        <v>0.0</v>
      </c>
      <c r="G178" s="21" t="n">
        <v>7856000.0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12.0</v>
      </c>
      <c r="F179" s="26" t="n">
        <f>0</f>
        <v>0.0</v>
      </c>
      <c r="G179" s="25" t="n">
        <v>2.3574E7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349.0</v>
      </c>
      <c r="F204" s="18" t="n">
        <f>0</f>
        <v>0.0</v>
      </c>
      <c r="G204" s="17" t="n">
        <v>1.7782985E9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180.0</v>
      </c>
      <c r="F205" s="22" t="n">
        <f>0</f>
        <v>0.0</v>
      </c>
      <c r="G205" s="21" t="n">
        <v>8.84795E8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1173.0</v>
      </c>
      <c r="F206" s="22" t="n">
        <f>0</f>
        <v>0.0</v>
      </c>
      <c r="G206" s="21" t="n">
        <v>5.8533945E9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1702.0</v>
      </c>
      <c r="F207" s="26" t="n">
        <f>0</f>
        <v>0.0</v>
      </c>
      <c r="G207" s="25" t="n">
        <v>8.516488E9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120.0</v>
      </c>
      <c r="F210" s="22" t="n">
        <f>120</f>
        <v>120.0</v>
      </c>
      <c r="G210" s="21" t="n">
        <v>1.914912E8</v>
      </c>
      <c r="H210" s="22" t="n">
        <f>191491200</f>
        <v>1.914912E8</v>
      </c>
    </row>
    <row r="211" spans="1:8" ht="24.9" customHeight="1">
      <c r="A211" s="57"/>
      <c r="B211" s="59"/>
      <c r="C211" s="39"/>
      <c r="D211" s="24" t="s">
        <v>18</v>
      </c>
      <c r="E211" s="25" t="n">
        <v>120.0</v>
      </c>
      <c r="F211" s="26" t="n">
        <f>120</f>
        <v>120.0</v>
      </c>
      <c r="G211" s="25" t="n">
        <v>1.914912E8</v>
      </c>
      <c r="H211" s="26" t="n">
        <f>191491200</f>
        <v>1.914912E8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120.0</v>
      </c>
      <c r="F214" s="22" t="n">
        <f>120</f>
        <v>120.0</v>
      </c>
      <c r="G214" s="21" t="n">
        <v>1.563552E8</v>
      </c>
      <c r="H214" s="22" t="n">
        <f>156355200</f>
        <v>1.563552E8</v>
      </c>
    </row>
    <row r="215" spans="1:8" ht="24.9" customHeight="1">
      <c r="A215" s="57"/>
      <c r="B215" s="59"/>
      <c r="C215" s="39"/>
      <c r="D215" s="24" t="s">
        <v>18</v>
      </c>
      <c r="E215" s="25" t="n">
        <v>120.0</v>
      </c>
      <c r="F215" s="26" t="n">
        <f>120</f>
        <v>120.0</v>
      </c>
      <c r="G215" s="25" t="n">
        <v>1.563552E8</v>
      </c>
      <c r="H215" s="26" t="n">
        <f>156355200</f>
        <v>1.563552E8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10.0</v>
      </c>
      <c r="F248" s="18" t="n">
        <f>10</f>
        <v>10.0</v>
      </c>
      <c r="G248" s="17" t="n">
        <v>1.870992E8</v>
      </c>
      <c r="H248" s="18" t="n">
        <f>187099200</f>
        <v>1.870992E8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10.0</v>
      </c>
      <c r="F251" s="26" t="n">
        <f>10</f>
        <v>10.0</v>
      </c>
      <c r="G251" s="25" t="n">
        <v>1.870992E8</v>
      </c>
      <c r="H251" s="26" t="n">
        <f>187099200</f>
        <v>1.870992E8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10.0</v>
      </c>
      <c r="F256" s="18" t="n">
        <f>10</f>
        <v>10.0</v>
      </c>
      <c r="G256" s="17" t="n">
        <v>1.809504E8</v>
      </c>
      <c r="H256" s="18" t="n">
        <f>180950400</f>
        <v>1.809504E8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10.0</v>
      </c>
      <c r="F259" s="26" t="n">
        <f>10</f>
        <v>10.0</v>
      </c>
      <c r="G259" s="25" t="n">
        <v>1.809504E8</v>
      </c>
      <c r="H259" s="26" t="n">
        <f>180950400</f>
        <v>1.809504E8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30.0</v>
      </c>
      <c r="F282" s="22" t="n">
        <f>0</f>
        <v>0.0</v>
      </c>
      <c r="G282" s="21" t="n">
        <v>3.611E7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30.0</v>
      </c>
      <c r="F283" s="26" t="n">
        <f>0</f>
        <v>0.0</v>
      </c>
      <c r="G283" s="25" t="n">
        <v>3.611E7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46318.0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46318.0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3731</f>
        <v>3731.0</v>
      </c>
      <c r="E12" s="35" t="n">
        <f>1465</f>
        <v>1465.0</v>
      </c>
      <c r="F12" s="17" t="n">
        <f>2611</f>
        <v>2611.0</v>
      </c>
      <c r="G12" s="35" t="n">
        <f>498</f>
        <v>498.0</v>
      </c>
      <c r="H12" s="17" t="n">
        <f>6342</f>
        <v>6342.0</v>
      </c>
      <c r="I12" s="35" t="n">
        <f>1963</f>
        <v>1963.0</v>
      </c>
      <c r="J12" s="17" t="n">
        <f>3134048200</f>
        <v>3.1340482E9</v>
      </c>
      <c r="K12" s="35" t="n">
        <f>1918506200</f>
        <v>1.9185062E9</v>
      </c>
      <c r="L12" s="17" t="n">
        <f>790896840</f>
        <v>7.9089684E8</v>
      </c>
      <c r="M12" s="35" t="n">
        <f>333323840</f>
        <v>3.3332384E8</v>
      </c>
      <c r="N12" s="17" t="n">
        <f>3924945040</f>
        <v>3.92494504E9</v>
      </c>
      <c r="O12" s="35" t="n">
        <f>2251830040</f>
        <v>2.25183004E9</v>
      </c>
    </row>
    <row r="13" spans="1:15" ht="24.9" customHeight="1">
      <c r="A13" s="38"/>
      <c r="B13" s="62"/>
      <c r="C13" s="20" t="s">
        <v>16</v>
      </c>
      <c r="D13" s="21" t="n">
        <f>7967</f>
        <v>7967.0</v>
      </c>
      <c r="E13" s="36" t="n">
        <f>3729</f>
        <v>3729.0</v>
      </c>
      <c r="F13" s="21" t="n">
        <f>4742</f>
        <v>4742.0</v>
      </c>
      <c r="G13" s="36" t="n">
        <f>1421</f>
        <v>1421.0</v>
      </c>
      <c r="H13" s="21" t="n">
        <f>12709</f>
        <v>12709.0</v>
      </c>
      <c r="I13" s="36" t="n">
        <f>5150</f>
        <v>5150.0</v>
      </c>
      <c r="J13" s="21" t="n">
        <f>7962075850</f>
        <v>7.96207585E9</v>
      </c>
      <c r="K13" s="36" t="n">
        <f>5057344850</f>
        <v>5.05734485E9</v>
      </c>
      <c r="L13" s="21" t="n">
        <f>2379721100</f>
        <v>2.3797211E9</v>
      </c>
      <c r="M13" s="36" t="n">
        <f>1460547100</f>
        <v>1.4605471E9</v>
      </c>
      <c r="N13" s="21" t="n">
        <f>10341796950</f>
        <v>1.034179695E10</v>
      </c>
      <c r="O13" s="36" t="n">
        <f>6517891950</f>
        <v>6.51789195E9</v>
      </c>
    </row>
    <row r="14" spans="1:15" ht="24.9" customHeight="1">
      <c r="A14" s="38"/>
      <c r="B14" s="62"/>
      <c r="C14" s="20" t="s">
        <v>17</v>
      </c>
      <c r="D14" s="21" t="n">
        <f>20072</f>
        <v>20072.0</v>
      </c>
      <c r="E14" s="36" t="n">
        <f>14698</f>
        <v>14698.0</v>
      </c>
      <c r="F14" s="21" t="n">
        <f>8132</f>
        <v>8132.0</v>
      </c>
      <c r="G14" s="36" t="n">
        <f>3538</f>
        <v>3538.0</v>
      </c>
      <c r="H14" s="21" t="n">
        <f>28204</f>
        <v>28204.0</v>
      </c>
      <c r="I14" s="36" t="n">
        <f>18236</f>
        <v>18236.0</v>
      </c>
      <c r="J14" s="21" t="n">
        <f>18549150937</f>
        <v>1.8549150937E10</v>
      </c>
      <c r="K14" s="36" t="n">
        <f>14466972937</f>
        <v>1.4466972937E10</v>
      </c>
      <c r="L14" s="21" t="n">
        <f>7374573470</f>
        <v>7.37457347E9</v>
      </c>
      <c r="M14" s="36" t="n">
        <f>5589964470</f>
        <v>5.58996447E9</v>
      </c>
      <c r="N14" s="21" t="n">
        <f>25923724407</f>
        <v>2.5923724407E10</v>
      </c>
      <c r="O14" s="36" t="n">
        <f>20056937407</f>
        <v>2.0056937407E10</v>
      </c>
    </row>
    <row r="15" spans="1:15" ht="24.9" customHeight="1">
      <c r="A15" s="38"/>
      <c r="B15" s="62"/>
      <c r="C15" s="24" t="s">
        <v>18</v>
      </c>
      <c r="D15" s="25" t="n">
        <f>31770</f>
        <v>31770.0</v>
      </c>
      <c r="E15" s="37" t="n">
        <f>19892</f>
        <v>19892.0</v>
      </c>
      <c r="F15" s="25" t="n">
        <f>15485</f>
        <v>15485.0</v>
      </c>
      <c r="G15" s="37" t="n">
        <f>5457</f>
        <v>5457.0</v>
      </c>
      <c r="H15" s="25" t="n">
        <f>47255</f>
        <v>47255.0</v>
      </c>
      <c r="I15" s="37" t="n">
        <f>25349</f>
        <v>25349.0</v>
      </c>
      <c r="J15" s="25" t="n">
        <f>29645274987</f>
        <v>2.9645274987E10</v>
      </c>
      <c r="K15" s="37" t="n">
        <f>21442823987</f>
        <v>2.1442823987E10</v>
      </c>
      <c r="L15" s="25" t="n">
        <f>10545191410</f>
        <v>1.054519141E10</v>
      </c>
      <c r="M15" s="37" t="n">
        <f>7383835410</f>
        <v>7.38383541E9</v>
      </c>
      <c r="N15" s="25" t="n">
        <f>40190466397</f>
        <v>4.0190466397E10</v>
      </c>
      <c r="O15" s="37" t="n">
        <f>28826659397</f>
        <v>2.8826659397E10</v>
      </c>
    </row>
    <row r="16" spans="1:15" ht="24.9" customHeight="1">
      <c r="A16" s="38"/>
      <c r="B16" s="61" t="s">
        <v>105</v>
      </c>
      <c r="C16" s="16" t="s">
        <v>15</v>
      </c>
      <c r="D16" s="17" t="n">
        <f>2396</f>
        <v>2396.0</v>
      </c>
      <c r="E16" s="35" t="n">
        <f>20</f>
        <v>20.0</v>
      </c>
      <c r="F16" s="17" t="n">
        <f>6603</f>
        <v>6603.0</v>
      </c>
      <c r="G16" s="35" t="n">
        <f>340</f>
        <v>340.0</v>
      </c>
      <c r="H16" s="17" t="n">
        <f>8999</f>
        <v>8999.0</v>
      </c>
      <c r="I16" s="35" t="n">
        <f>360</f>
        <v>360.0</v>
      </c>
      <c r="J16" s="17" t="n">
        <f>317664390</f>
        <v>3.1766439E8</v>
      </c>
      <c r="K16" s="35" t="n">
        <f>2202390</f>
        <v>2202390.0</v>
      </c>
      <c r="L16" s="17" t="n">
        <f>268588050</f>
        <v>2.6858805E8</v>
      </c>
      <c r="M16" s="35" t="n">
        <f>7771850</f>
        <v>7771850.0</v>
      </c>
      <c r="N16" s="17" t="n">
        <f>586252440</f>
        <v>5.8625244E8</v>
      </c>
      <c r="O16" s="35" t="n">
        <f>9974240</f>
        <v>9974240.0</v>
      </c>
    </row>
    <row r="17" spans="1:15" ht="24.9" customHeight="1">
      <c r="A17" s="38"/>
      <c r="B17" s="62"/>
      <c r="C17" s="20" t="s">
        <v>16</v>
      </c>
      <c r="D17" s="21" t="n">
        <f>2829</f>
        <v>2829.0</v>
      </c>
      <c r="E17" s="36" t="n">
        <f>80</f>
        <v>80.0</v>
      </c>
      <c r="F17" s="21" t="n">
        <f>10539</f>
        <v>10539.0</v>
      </c>
      <c r="G17" s="36" t="n">
        <f>420</f>
        <v>420.0</v>
      </c>
      <c r="H17" s="21" t="n">
        <f>13368</f>
        <v>13368.0</v>
      </c>
      <c r="I17" s="36" t="n">
        <f>500</f>
        <v>500.0</v>
      </c>
      <c r="J17" s="21" t="n">
        <f>413512560</f>
        <v>4.1351256E8</v>
      </c>
      <c r="K17" s="36" t="n">
        <f>11226560</f>
        <v>1.122656E7</v>
      </c>
      <c r="L17" s="21" t="n">
        <f>283375940</f>
        <v>2.8337594E8</v>
      </c>
      <c r="M17" s="36" t="n">
        <f>9211640</f>
        <v>9211640.0</v>
      </c>
      <c r="N17" s="21" t="n">
        <f>696888500</f>
        <v>6.968885E8</v>
      </c>
      <c r="O17" s="36" t="n">
        <f>20438200</f>
        <v>2.04382E7</v>
      </c>
    </row>
    <row r="18" spans="1:15" ht="24.9" customHeight="1">
      <c r="A18" s="38"/>
      <c r="B18" s="62"/>
      <c r="C18" s="20" t="s">
        <v>17</v>
      </c>
      <c r="D18" s="21" t="n">
        <f>4368</f>
        <v>4368.0</v>
      </c>
      <c r="E18" s="36" t="n">
        <f>90</f>
        <v>90.0</v>
      </c>
      <c r="F18" s="21" t="n">
        <f>12141</f>
        <v>12141.0</v>
      </c>
      <c r="G18" s="36" t="n">
        <f>490</f>
        <v>490.0</v>
      </c>
      <c r="H18" s="21" t="n">
        <f>16509</f>
        <v>16509.0</v>
      </c>
      <c r="I18" s="36" t="n">
        <f>580</f>
        <v>580.0</v>
      </c>
      <c r="J18" s="21" t="n">
        <f>495588010</f>
        <v>4.9558801E8</v>
      </c>
      <c r="K18" s="36" t="n">
        <f>5178010</f>
        <v>5178010.0</v>
      </c>
      <c r="L18" s="21" t="n">
        <f>501442900</f>
        <v>5.014429E8</v>
      </c>
      <c r="M18" s="36" t="n">
        <f>12031500</f>
        <v>1.20315E7</v>
      </c>
      <c r="N18" s="21" t="n">
        <f>997030910</f>
        <v>9.9703091E8</v>
      </c>
      <c r="O18" s="36" t="n">
        <f>17209510</f>
        <v>1.720951E7</v>
      </c>
    </row>
    <row r="19" spans="1:15" ht="24.9" customHeight="1">
      <c r="A19" s="38"/>
      <c r="B19" s="62"/>
      <c r="C19" s="24" t="s">
        <v>18</v>
      </c>
      <c r="D19" s="25" t="n">
        <f>9593</f>
        <v>9593.0</v>
      </c>
      <c r="E19" s="37" t="n">
        <f>190</f>
        <v>190.0</v>
      </c>
      <c r="F19" s="25" t="n">
        <f>29283</f>
        <v>29283.0</v>
      </c>
      <c r="G19" s="37" t="n">
        <f>1250</f>
        <v>1250.0</v>
      </c>
      <c r="H19" s="25" t="n">
        <f>38876</f>
        <v>38876.0</v>
      </c>
      <c r="I19" s="37" t="n">
        <f>1440</f>
        <v>1440.0</v>
      </c>
      <c r="J19" s="25" t="n">
        <f>1226764960</f>
        <v>1.22676496E9</v>
      </c>
      <c r="K19" s="37" t="n">
        <f>18606960</f>
        <v>1.860696E7</v>
      </c>
      <c r="L19" s="25" t="n">
        <f>1053406890</f>
        <v>1.05340689E9</v>
      </c>
      <c r="M19" s="37" t="n">
        <f>29014990</f>
        <v>2.901499E7</v>
      </c>
      <c r="N19" s="25" t="n">
        <f>2280171850</f>
        <v>2.28017185E9</v>
      </c>
      <c r="O19" s="37" t="n">
        <f>47621950</f>
        <v>4.762195E7</v>
      </c>
    </row>
    <row r="20" spans="1:15" ht="24.9" customHeight="1">
      <c r="A20" s="38"/>
      <c r="B20" s="61" t="s">
        <v>106</v>
      </c>
      <c r="C20" s="16" t="s">
        <v>15</v>
      </c>
      <c r="D20" s="17" t="n">
        <f>100</f>
        <v>100.0</v>
      </c>
      <c r="E20" s="35" t="n">
        <f>100</f>
        <v>100.0</v>
      </c>
      <c r="F20" s="17" t="n">
        <f>100</f>
        <v>100.0</v>
      </c>
      <c r="G20" s="35" t="n">
        <f>100</f>
        <v>100.0</v>
      </c>
      <c r="H20" s="17" t="n">
        <f>200</f>
        <v>200.0</v>
      </c>
      <c r="I20" s="35" t="n">
        <f>200</f>
        <v>200.0</v>
      </c>
      <c r="J20" s="17" t="n">
        <f>194500000</f>
        <v>1.945E8</v>
      </c>
      <c r="K20" s="35" t="n">
        <f>194500000</f>
        <v>1.945E8</v>
      </c>
      <c r="L20" s="17" t="n">
        <f>222000000</f>
        <v>2.22E8</v>
      </c>
      <c r="M20" s="35" t="n">
        <f>222000000</f>
        <v>2.22E8</v>
      </c>
      <c r="N20" s="17" t="n">
        <f>416500000</f>
        <v>4.165E8</v>
      </c>
      <c r="O20" s="35" t="n">
        <f>416500000</f>
        <v>4.165E8</v>
      </c>
    </row>
    <row r="21" spans="1:15" ht="24.9" customHeight="1">
      <c r="A21" s="38"/>
      <c r="B21" s="62"/>
      <c r="C21" s="20" t="s">
        <v>16</v>
      </c>
      <c r="D21" s="21" t="n">
        <f>100</f>
        <v>100.0</v>
      </c>
      <c r="E21" s="36" t="n">
        <f>100</f>
        <v>100.0</v>
      </c>
      <c r="F21" s="21" t="n">
        <f>100</f>
        <v>100.0</v>
      </c>
      <c r="G21" s="36" t="n">
        <f>100</f>
        <v>100.0</v>
      </c>
      <c r="H21" s="21" t="n">
        <f>200</f>
        <v>200.0</v>
      </c>
      <c r="I21" s="36" t="n">
        <f>200</f>
        <v>200.0</v>
      </c>
      <c r="J21" s="21" t="n">
        <f>455000000</f>
        <v>4.55E8</v>
      </c>
      <c r="K21" s="36" t="n">
        <f>455000000</f>
        <v>4.55E8</v>
      </c>
      <c r="L21" s="21" t="n">
        <f>235000000</f>
        <v>2.35E8</v>
      </c>
      <c r="M21" s="36" t="n">
        <f>235000000</f>
        <v>2.35E8</v>
      </c>
      <c r="N21" s="21" t="n">
        <f>690000000</f>
        <v>6.9E8</v>
      </c>
      <c r="O21" s="36" t="n">
        <f>690000000</f>
        <v>6.9E8</v>
      </c>
    </row>
    <row r="22" spans="1:15" ht="24.9" customHeight="1">
      <c r="A22" s="38"/>
      <c r="B22" s="62"/>
      <c r="C22" s="20" t="s">
        <v>17</v>
      </c>
      <c r="D22" s="21" t="n">
        <f>1189</f>
        <v>1189.0</v>
      </c>
      <c r="E22" s="36" t="n">
        <f>1189</f>
        <v>1189.0</v>
      </c>
      <c r="F22" s="21" t="n">
        <f>50</f>
        <v>50.0</v>
      </c>
      <c r="G22" s="36" t="n">
        <f>50</f>
        <v>50.0</v>
      </c>
      <c r="H22" s="21" t="n">
        <f>1239</f>
        <v>1239.0</v>
      </c>
      <c r="I22" s="36" t="n">
        <f>1239</f>
        <v>1239.0</v>
      </c>
      <c r="J22" s="21" t="n">
        <f>836445000</f>
        <v>8.36445E8</v>
      </c>
      <c r="K22" s="36" t="n">
        <f>836445000</f>
        <v>8.36445E8</v>
      </c>
      <c r="L22" s="21" t="n">
        <f>60000000</f>
        <v>6.0E7</v>
      </c>
      <c r="M22" s="36" t="n">
        <f>60000000</f>
        <v>6.0E7</v>
      </c>
      <c r="N22" s="21" t="n">
        <f>896445000</f>
        <v>8.96445E8</v>
      </c>
      <c r="O22" s="36" t="n">
        <f>896445000</f>
        <v>8.96445E8</v>
      </c>
    </row>
    <row r="23" spans="1:15" ht="24.9" customHeight="1">
      <c r="A23" s="38"/>
      <c r="B23" s="62"/>
      <c r="C23" s="24" t="s">
        <v>18</v>
      </c>
      <c r="D23" s="25" t="n">
        <f>1389</f>
        <v>1389.0</v>
      </c>
      <c r="E23" s="37" t="n">
        <f>1389</f>
        <v>1389.0</v>
      </c>
      <c r="F23" s="25" t="n">
        <f>250</f>
        <v>250.0</v>
      </c>
      <c r="G23" s="37" t="n">
        <f>250</f>
        <v>250.0</v>
      </c>
      <c r="H23" s="25" t="n">
        <f>1639</f>
        <v>1639.0</v>
      </c>
      <c r="I23" s="37" t="n">
        <f>1639</f>
        <v>1639.0</v>
      </c>
      <c r="J23" s="25" t="n">
        <f>1485945000</f>
        <v>1.485945E9</v>
      </c>
      <c r="K23" s="37" t="n">
        <f>1485945000</f>
        <v>1.485945E9</v>
      </c>
      <c r="L23" s="25" t="n">
        <f>517000000</f>
        <v>5.17E8</v>
      </c>
      <c r="M23" s="37" t="n">
        <f>517000000</f>
        <v>5.17E8</v>
      </c>
      <c r="N23" s="25" t="n">
        <f>2002945000</f>
        <v>2.002945E9</v>
      </c>
      <c r="O23" s="37" t="n">
        <f>2002945000</f>
        <v>2.002945E9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24</f>
        <v>24.0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24</f>
        <v>24.0</v>
      </c>
      <c r="I36" s="18" t="n">
        <f>0</f>
        <v>0.0</v>
      </c>
      <c r="J36" s="17" t="n">
        <f>320000</f>
        <v>320000.0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320000</f>
        <v>320000.0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77</f>
        <v>77.0</v>
      </c>
      <c r="E37" s="22" t="n">
        <f>20</f>
        <v>20.0</v>
      </c>
      <c r="F37" s="21" t="n">
        <f>42</f>
        <v>42.0</v>
      </c>
      <c r="G37" s="22" t="n">
        <f>0</f>
        <v>0.0</v>
      </c>
      <c r="H37" s="21" t="n">
        <f>119</f>
        <v>119.0</v>
      </c>
      <c r="I37" s="22" t="n">
        <f>20</f>
        <v>20.0</v>
      </c>
      <c r="J37" s="21" t="n">
        <f>11800000</f>
        <v>1.18E7</v>
      </c>
      <c r="K37" s="22" t="n">
        <f>4350000</f>
        <v>4350000.0</v>
      </c>
      <c r="L37" s="21" t="n">
        <f>8230000</f>
        <v>8230000.0</v>
      </c>
      <c r="M37" s="22" t="n">
        <f>0</f>
        <v>0.0</v>
      </c>
      <c r="N37" s="21" t="n">
        <f>20030000</f>
        <v>2.003E7</v>
      </c>
      <c r="O37" s="22" t="n">
        <f>4350000</f>
        <v>4350000.0</v>
      </c>
    </row>
    <row r="38" spans="1:15" ht="24.9" customHeight="1">
      <c r="A38" s="38"/>
      <c r="B38" s="62"/>
      <c r="C38" s="20" t="s">
        <v>17</v>
      </c>
      <c r="D38" s="21" t="n">
        <f>93</f>
        <v>93.0</v>
      </c>
      <c r="E38" s="36" t="n">
        <f>0</f>
        <v>0.0</v>
      </c>
      <c r="F38" s="21" t="n">
        <f>22</f>
        <v>22.0</v>
      </c>
      <c r="G38" s="36" t="n">
        <f>0</f>
        <v>0.0</v>
      </c>
      <c r="H38" s="21" t="n">
        <f>115</f>
        <v>115.0</v>
      </c>
      <c r="I38" s="36" t="n">
        <f>0</f>
        <v>0.0</v>
      </c>
      <c r="J38" s="21" t="n">
        <f>13400000</f>
        <v>1.34E7</v>
      </c>
      <c r="K38" s="36" t="n">
        <f>0</f>
        <v>0.0</v>
      </c>
      <c r="L38" s="21" t="n">
        <f>4180000</f>
        <v>4180000.0</v>
      </c>
      <c r="M38" s="36" t="n">
        <f>0</f>
        <v>0.0</v>
      </c>
      <c r="N38" s="21" t="n">
        <f>17580000</f>
        <v>1.758E7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194</f>
        <v>194.0</v>
      </c>
      <c r="E39" s="37" t="n">
        <f>20</f>
        <v>20.0</v>
      </c>
      <c r="F39" s="25" t="n">
        <f>64</f>
        <v>64.0</v>
      </c>
      <c r="G39" s="37" t="n">
        <f>0</f>
        <v>0.0</v>
      </c>
      <c r="H39" s="25" t="n">
        <f>258</f>
        <v>258.0</v>
      </c>
      <c r="I39" s="37" t="n">
        <f>20</f>
        <v>20.0</v>
      </c>
      <c r="J39" s="25" t="n">
        <f>25520000</f>
        <v>2.552E7</v>
      </c>
      <c r="K39" s="37" t="n">
        <f>4350000</f>
        <v>4350000.0</v>
      </c>
      <c r="L39" s="25" t="n">
        <f>12410000</f>
        <v>1.241E7</v>
      </c>
      <c r="M39" s="37" t="n">
        <f>0</f>
        <v>0.0</v>
      </c>
      <c r="N39" s="25" t="n">
        <f>37930000</f>
        <v>3.793E7</v>
      </c>
      <c r="O39" s="37" t="n">
        <f>4350000</f>
        <v>4350000.0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11725</f>
        <v>11725.0</v>
      </c>
      <c r="E41" s="36" t="n">
        <f>0</f>
        <v>0.0</v>
      </c>
      <c r="F41" s="21" t="n">
        <f>8980</f>
        <v>8980.0</v>
      </c>
      <c r="G41" s="36" t="n">
        <f>0</f>
        <v>0.0</v>
      </c>
      <c r="H41" s="21" t="n">
        <f>20705</f>
        <v>20705.0</v>
      </c>
      <c r="I41" s="36" t="n">
        <f>0</f>
        <v>0.0</v>
      </c>
      <c r="J41" s="21" t="n">
        <f>15815654</f>
        <v>1.5815654E7</v>
      </c>
      <c r="K41" s="36" t="n">
        <f>0</f>
        <v>0.0</v>
      </c>
      <c r="L41" s="21" t="n">
        <f>1476440</f>
        <v>1476440.0</v>
      </c>
      <c r="M41" s="36" t="n">
        <f>0</f>
        <v>0.0</v>
      </c>
      <c r="N41" s="21" t="n">
        <f>17292094</f>
        <v>1.7292094E7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2719</f>
        <v>2719.0</v>
      </c>
      <c r="E42" s="36" t="n">
        <f>0</f>
        <v>0.0</v>
      </c>
      <c r="F42" s="21" t="n">
        <f>3530</f>
        <v>3530.0</v>
      </c>
      <c r="G42" s="36" t="n">
        <f>0</f>
        <v>0.0</v>
      </c>
      <c r="H42" s="21" t="n">
        <f>6249</f>
        <v>6249.0</v>
      </c>
      <c r="I42" s="36" t="n">
        <f>0</f>
        <v>0.0</v>
      </c>
      <c r="J42" s="21" t="n">
        <f>24774790</f>
        <v>2.477479E7</v>
      </c>
      <c r="K42" s="36" t="n">
        <f>0</f>
        <v>0.0</v>
      </c>
      <c r="L42" s="21" t="n">
        <f>729340</f>
        <v>729340.0</v>
      </c>
      <c r="M42" s="36" t="n">
        <f>0</f>
        <v>0.0</v>
      </c>
      <c r="N42" s="21" t="n">
        <f>25504130</f>
        <v>2.550413E7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14444</f>
        <v>14444.0</v>
      </c>
      <c r="E43" s="37" t="n">
        <f>0</f>
        <v>0.0</v>
      </c>
      <c r="F43" s="25" t="n">
        <f>12510</f>
        <v>12510.0</v>
      </c>
      <c r="G43" s="37" t="n">
        <f>0</f>
        <v>0.0</v>
      </c>
      <c r="H43" s="25" t="n">
        <f>26954</f>
        <v>26954.0</v>
      </c>
      <c r="I43" s="37" t="n">
        <f>0</f>
        <v>0.0</v>
      </c>
      <c r="J43" s="25" t="n">
        <f>40590444</f>
        <v>4.0590444E7</v>
      </c>
      <c r="K43" s="37" t="n">
        <f>0</f>
        <v>0.0</v>
      </c>
      <c r="L43" s="25" t="n">
        <f>2205780</f>
        <v>2205780.0</v>
      </c>
      <c r="M43" s="37" t="n">
        <f>0</f>
        <v>0.0</v>
      </c>
      <c r="N43" s="25" t="n">
        <f>42796224</f>
        <v>4.2796224E7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