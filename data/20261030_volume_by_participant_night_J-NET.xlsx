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<sst xmlns="http://schemas.openxmlformats.org/spreadsheetml/2006/main" count="148" uniqueCount="55">
  <si>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</si>
  <si>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</si>
  <si>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</si>
  <si>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</si>
  <si>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</si>
  <si>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</si>
  <si>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</si>
  <si>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</si>
  <si>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</si>
  <si>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20261030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</si>
  <si>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</si>
  <si>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</si>
  <si>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</si>
  <si>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</si>
  <si>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</si>
  <si>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</si>
  <si>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</si>
  <si>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</si>
  <si>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</si>
  <si>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11560</t>
  </si>
  <si>
    <t>ゴールドマン証券</t>
  </si>
  <si>
    <t>Goldman Sachs Japan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</si>
  <si>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</si>
  <si>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</si>
  <si>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</si>
  <si>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</si>
  <si>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</si>
  <si>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</si>
  <si>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</si>
  <si>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</si>
  <si>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</si>
  <si>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</si>
  <si>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</si>
  <si>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</si>
  <si>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</si>
  <si>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</si>
  <si>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</si>
  <si>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</si>
  <si>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</si>
  <si>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</si>
  <si>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</si>
  <si>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</si>
  <si>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</si>
  <si>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</si>
  <si>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</si>
  <si>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</si>
  <si>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</si>
  <si>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</si>
  <si>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</si>
  <si>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</si>
  <si>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NK225E</t>
  </si>
  <si>
    <t>131233018</t>
  </si>
  <si>
    <t>NIKKEI 225 OOP P2611-63000</t>
  </si>
  <si>
    <t>141234018</t>
  </si>
  <si>
    <t>NIKKEI 225 OOP C2611-64000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</si>
</sst>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620.0</f>
        <v>620.0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178.0</f>
        <v>178.0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31.0</f>
        <v>31.0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22.0</f>
        <v>22.0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17.0</f>
        <v>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15.0</f>
        <v>15.0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14.0</f>
        <v>14.0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10.0</f>
        <v>10.0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5.0</f>
        <v>5.0</v>
      </c>
    </row>
    <row r="18">
      <c r="A18" s="3" t="s">
        <v>40</v>
      </c>
      <c r="B18" s="4" t="s">
        <v>41</v>
      </c>
      <c r="C18" s="4" t="s">
        <v>42</v>
      </c>
      <c r="D18" s="3" t="n">
        <v>1.0</v>
      </c>
      <c r="E18" s="4" t="s">
        <v>13</v>
      </c>
      <c r="F18" s="4" t="s">
        <v>14</v>
      </c>
      <c r="G18" s="4" t="s">
        <v>15</v>
      </c>
      <c r="H18" s="5" t="n">
        <f>1572.0</f>
        <v>1572.0</v>
      </c>
    </row>
    <row r="19">
      <c r="A19" s="3" t="s">
        <v>40</v>
      </c>
      <c r="B19" s="4" t="s">
        <v>41</v>
      </c>
      <c r="C19" s="4" t="s">
        <v>42</v>
      </c>
      <c r="D19" s="3" t="n">
        <v>2.0</v>
      </c>
      <c r="E19" s="4" t="s">
        <v>16</v>
      </c>
      <c r="F19" s="4" t="s">
        <v>17</v>
      </c>
      <c r="G19" s="4" t="s">
        <v>18</v>
      </c>
      <c r="H19" s="5" t="n">
        <f>1192.0</f>
        <v>1192.0</v>
      </c>
    </row>
    <row r="20">
      <c r="A20" s="3" t="s">
        <v>40</v>
      </c>
      <c r="B20" s="4" t="s">
        <v>41</v>
      </c>
      <c r="C20" s="4" t="s">
        <v>42</v>
      </c>
      <c r="D20" s="3" t="n">
        <v>3.0</v>
      </c>
      <c r="E20" s="4" t="s">
        <v>22</v>
      </c>
      <c r="F20" s="4" t="s">
        <v>23</v>
      </c>
      <c r="G20" s="4" t="s">
        <v>24</v>
      </c>
      <c r="H20" s="5" t="n">
        <f>304.0</f>
        <v>304.0</v>
      </c>
    </row>
    <row r="21">
      <c r="A21" s="3" t="s">
        <v>40</v>
      </c>
      <c r="B21" s="4" t="s">
        <v>43</v>
      </c>
      <c r="C21" s="4" t="s">
        <v>44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39810.0</f>
        <v>39810.0</v>
      </c>
    </row>
    <row r="22">
      <c r="A22" s="3" t="s">
        <v>40</v>
      </c>
      <c r="B22" s="4" t="s">
        <v>43</v>
      </c>
      <c r="C22" s="4" t="s">
        <v>44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25796.0</f>
        <v>25796.0</v>
      </c>
    </row>
    <row r="23">
      <c r="A23" s="3" t="s">
        <v>40</v>
      </c>
      <c r="B23" s="4" t="s">
        <v>43</v>
      </c>
      <c r="C23" s="4" t="s">
        <v>44</v>
      </c>
      <c r="D23" s="3" t="n">
        <v>3.0</v>
      </c>
      <c r="E23" s="4" t="s">
        <v>22</v>
      </c>
      <c r="F23" s="4" t="s">
        <v>23</v>
      </c>
      <c r="G23" s="4" t="s">
        <v>24</v>
      </c>
      <c r="H23" s="5" t="n">
        <f>4124.0</f>
        <v>4124.0</v>
      </c>
    </row>
    <row r="24">
      <c r="A24" s="3" t="s">
        <v>40</v>
      </c>
      <c r="B24" s="4" t="s">
        <v>43</v>
      </c>
      <c r="C24" s="4" t="s">
        <v>44</v>
      </c>
      <c r="D24" s="3" t="n">
        <v>4.0</v>
      </c>
      <c r="E24" s="4" t="s">
        <v>19</v>
      </c>
      <c r="F24" s="4" t="s">
        <v>20</v>
      </c>
      <c r="G24" s="4" t="s">
        <v>21</v>
      </c>
      <c r="H24" s="5" t="n">
        <f>18.0</f>
        <v>18.0</v>
      </c>
    </row>
    <row r="25">
      <c r="A25" s="3" t="s">
        <v>40</v>
      </c>
      <c r="B25" s="4" t="s">
        <v>45</v>
      </c>
      <c r="C25" s="4" t="s">
        <v>46</v>
      </c>
      <c r="D25" s="3" t="n">
        <v>1.0</v>
      </c>
      <c r="E25" s="4" t="s">
        <v>16</v>
      </c>
      <c r="F25" s="4" t="s">
        <v>17</v>
      </c>
      <c r="G25" s="4" t="s">
        <v>18</v>
      </c>
      <c r="H25" s="5" t="n">
        <f>14.0</f>
        <v>14.0</v>
      </c>
    </row>
    <row r="26">
      <c r="A26" s="3" t="s">
        <v>47</v>
      </c>
      <c r="B26" s="4" t="s">
        <v>48</v>
      </c>
      <c r="C26" s="4" t="s">
        <v>49</v>
      </c>
      <c r="D26" s="3" t="n">
        <v>1.0</v>
      </c>
      <c r="E26" s="4" t="s">
        <v>19</v>
      </c>
      <c r="F26" s="4" t="s">
        <v>20</v>
      </c>
      <c r="G26" s="4" t="s">
        <v>21</v>
      </c>
      <c r="H26" s="5" t="n">
        <f>324.0</f>
        <v>324.0</v>
      </c>
    </row>
    <row r="27">
      <c r="A27" s="3" t="s">
        <v>47</v>
      </c>
      <c r="B27" s="4" t="s">
        <v>48</v>
      </c>
      <c r="C27" s="4" t="s">
        <v>49</v>
      </c>
      <c r="D27" s="3" t="n">
        <v>2.0</v>
      </c>
      <c r="E27" s="4" t="s">
        <v>13</v>
      </c>
      <c r="F27" s="4" t="s">
        <v>14</v>
      </c>
      <c r="G27" s="4" t="s">
        <v>15</v>
      </c>
      <c r="H27" s="5" t="n">
        <f>10.0</f>
        <v>10.0</v>
      </c>
    </row>
    <row r="28">
      <c r="A28" s="3" t="s">
        <v>47</v>
      </c>
      <c r="B28" s="4" t="s">
        <v>48</v>
      </c>
      <c r="C28" s="4" t="s">
        <v>49</v>
      </c>
      <c r="D28" s="3" t="n">
        <v>3.0</v>
      </c>
      <c r="E28" s="4" t="s">
        <v>22</v>
      </c>
      <c r="F28" s="4" t="s">
        <v>23</v>
      </c>
      <c r="G28" s="4" t="s">
        <v>24</v>
      </c>
      <c r="H28" s="5" t="n">
        <f>2.0</f>
        <v>2.0</v>
      </c>
    </row>
    <row r="29">
      <c r="A29" s="3" t="s">
        <v>47</v>
      </c>
      <c r="B29" s="4" t="s">
        <v>48</v>
      </c>
      <c r="C29" s="4" t="s">
        <v>49</v>
      </c>
      <c r="D29" s="3" t="n">
        <v>3.0</v>
      </c>
      <c r="E29" s="4" t="s">
        <v>25</v>
      </c>
      <c r="F29" s="4" t="s">
        <v>26</v>
      </c>
      <c r="G29" s="4" t="s">
        <v>27</v>
      </c>
      <c r="H29" s="5" t="n">
        <f>2.0</f>
        <v>2.0</v>
      </c>
    </row>
    <row r="30">
      <c r="A30" s="3" t="s">
        <v>50</v>
      </c>
      <c r="B30" s="4" t="s">
        <v>51</v>
      </c>
      <c r="C30" s="4" t="s">
        <v>52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2.0</f>
        <v>2.0</v>
      </c>
    </row>
    <row r="31">
      <c r="A31" s="3" t="s">
        <v>50</v>
      </c>
      <c r="B31" s="4" t="s">
        <v>53</v>
      </c>
      <c r="C31" s="4" t="s">
        <v>54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