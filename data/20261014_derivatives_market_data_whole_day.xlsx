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<sst xmlns="http://schemas.openxmlformats.org/spreadsheetml/2006/main" count="528" uniqueCount="129">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</sst>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DATE(2026,10,14)</f>
        <v>46309.0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DATE(2026,10,14)</f>
        <v>46309.0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606788.0</f>
        <v>606788.0</v>
      </c>
      <c r="E12" s="18" t="n">
        <f>22659.0</f>
        <v>22659.0</v>
      </c>
      <c r="F12" s="19" t="n">
        <f>1.0</f>
        <v>1.0</v>
      </c>
      <c r="G12" s="17" t="n">
        <f>4189342713075.0</f>
        <v>4.189342713075E12</v>
      </c>
      <c r="H12" s="18" t="n">
        <f>221872726900.0</f>
        <v>2.218727269E11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331131.0</f>
        <v>331131.0</v>
      </c>
      <c r="E13" s="22" t="n">
        <f>11459.0</f>
        <v>11459.0</v>
      </c>
      <c r="F13" s="23" t="n">
        <f>1.0</f>
        <v>1.0</v>
      </c>
      <c r="G13" s="21" t="n">
        <f>3404269643785.0</f>
        <v>3.404269643785E12</v>
      </c>
      <c r="H13" s="22" t="n">
        <f>282156285410.0</f>
        <v>2.8215628541E11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480770.0</f>
        <v>480770.0</v>
      </c>
      <c r="E14" s="22" t="n">
        <f>25888.0</f>
        <v>25888.0</v>
      </c>
      <c r="F14" s="23" t="n">
        <f>1.0</f>
        <v>1.0</v>
      </c>
      <c r="G14" s="21" t="n">
        <f>5495352310196.0</f>
        <v>5.495352310196E12</v>
      </c>
      <c r="H14" s="22" t="n">
        <f>741568592796.0</f>
        <v>7.41568592796E11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1418689.0</f>
        <v>1418689.0</v>
      </c>
      <c r="E15" s="26" t="n">
        <f>60006.0</f>
        <v>60006.0</v>
      </c>
      <c r="F15" s="27" t="n">
        <f>1.0</f>
        <v>1.0</v>
      </c>
      <c r="G15" s="25" t="n">
        <f>13088964667056.0</f>
        <v>1.3088964667056E13</v>
      </c>
      <c r="H15" s="26" t="n">
        <f>1245597605106.0</f>
        <v>1.245597605106E12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13031.0</f>
        <v>13031.0</v>
      </c>
      <c r="E16" s="18" t="n">
        <f>150.0</f>
        <v>150.0</v>
      </c>
      <c r="F16" s="19" t="n">
        <f>0.021</f>
        <v>0.021</v>
      </c>
      <c r="G16" s="17" t="n">
        <f>1452110093125.0</f>
        <v>1.452110093125E12</v>
      </c>
      <c r="H16" s="18" t="n">
        <f>18738850000.0</f>
        <v>1.873885E10</v>
      </c>
      <c r="I16" s="19" t="n">
        <f>0.347</f>
        <v>0.347</v>
      </c>
    </row>
    <row r="17" spans="1:9" ht="24.9" customHeight="1">
      <c r="A17" s="41"/>
      <c r="B17" s="39"/>
      <c r="C17" s="20" t="s">
        <v>16</v>
      </c>
      <c r="D17" s="21" t="n">
        <f>13502.0</f>
        <v>13502.0</v>
      </c>
      <c r="E17" s="22" t="n">
        <f>903.0</f>
        <v>903.0</v>
      </c>
      <c r="F17" s="23" t="n">
        <f>0.041</f>
        <v>0.041</v>
      </c>
      <c r="G17" s="21" t="n">
        <f>1350582591875.0</f>
        <v>1.350582591875E12</v>
      </c>
      <c r="H17" s="22" t="n">
        <f>112736935000.0</f>
        <v>1.12736935E11</v>
      </c>
      <c r="I17" s="23" t="n">
        <f>0.397</f>
        <v>0.397</v>
      </c>
    </row>
    <row r="18" spans="1:9" ht="24.9" customHeight="1">
      <c r="A18" s="41"/>
      <c r="B18" s="39"/>
      <c r="C18" s="20" t="s">
        <v>17</v>
      </c>
      <c r="D18" s="21" t="n">
        <f>16177.0</f>
        <v>16177.0</v>
      </c>
      <c r="E18" s="22" t="n">
        <f>1068.0</f>
        <v>1068.0</v>
      </c>
      <c r="F18" s="23" t="n">
        <f>0.034</f>
        <v>0.034</v>
      </c>
      <c r="G18" s="21" t="n">
        <f>1789737277500.0</f>
        <v>1.7897372775E12</v>
      </c>
      <c r="H18" s="22" t="n">
        <f>133433560000.0</f>
        <v>1.3343356E11</v>
      </c>
      <c r="I18" s="23" t="n">
        <f>0.326</f>
        <v>0.326</v>
      </c>
    </row>
    <row r="19" spans="1:9" ht="24.9" customHeight="1">
      <c r="A19" s="41"/>
      <c r="B19" s="39"/>
      <c r="C19" s="24" t="s">
        <v>18</v>
      </c>
      <c r="D19" s="25" t="n">
        <f>42710.0</f>
        <v>42710.0</v>
      </c>
      <c r="E19" s="26" t="n">
        <f>2121.0</f>
        <v>2121.0</v>
      </c>
      <c r="F19" s="27" t="n">
        <f>0.03</f>
        <v>0.03</v>
      </c>
      <c r="G19" s="25" t="n">
        <f>4592429962500.0</f>
        <v>4.5924299625E12</v>
      </c>
      <c r="H19" s="26" t="n">
        <f>264909345000.0</f>
        <v>2.64909345E11</v>
      </c>
      <c r="I19" s="27" t="n">
        <f>0.351</f>
        <v>0.351</v>
      </c>
    </row>
    <row r="20" spans="1:9" ht="24.9" customHeight="1">
      <c r="A20" s="41"/>
      <c r="B20" s="39" t="s">
        <v>21</v>
      </c>
      <c r="C20" s="16" t="s">
        <v>15</v>
      </c>
      <c r="D20" s="17" t="n">
        <f>581596.0</f>
        <v>581596.0</v>
      </c>
      <c r="E20" s="18" t="n">
        <f>22509.0</f>
        <v>22509.0</v>
      </c>
      <c r="F20" s="19" t="n">
        <f>0.958</f>
        <v>0.958</v>
      </c>
      <c r="G20" s="17" t="n">
        <f>2641900628500.0</f>
        <v>2.6419006285E12</v>
      </c>
      <c r="H20" s="18" t="n">
        <f>203133876900.0</f>
        <v>2.031338769E11</v>
      </c>
      <c r="I20" s="19" t="n">
        <f>0.631</f>
        <v>0.631</v>
      </c>
    </row>
    <row r="21" spans="1:9" ht="24.9" customHeight="1">
      <c r="A21" s="41"/>
      <c r="B21" s="39"/>
      <c r="C21" s="20" t="s">
        <v>16</v>
      </c>
      <c r="D21" s="21" t="n">
        <f>311957.0</f>
        <v>311957.0</v>
      </c>
      <c r="E21" s="22" t="n">
        <f>10526.0</f>
        <v>10526.0</v>
      </c>
      <c r="F21" s="23" t="n">
        <f>0.942</f>
        <v>0.942</v>
      </c>
      <c r="G21" s="21" t="n">
        <f>1995715697560.0</f>
        <v>1.99571569756E12</v>
      </c>
      <c r="H21" s="22" t="n">
        <f>168883087210.0</f>
        <v>1.6888308721E11</v>
      </c>
      <c r="I21" s="23" t="n">
        <f>0.586</f>
        <v>0.586</v>
      </c>
    </row>
    <row r="22" spans="1:9" ht="24.9" customHeight="1">
      <c r="A22" s="41"/>
      <c r="B22" s="39"/>
      <c r="C22" s="20" t="s">
        <v>17</v>
      </c>
      <c r="D22" s="21" t="n">
        <f>448157.0</f>
        <v>448157.0</v>
      </c>
      <c r="E22" s="22" t="n">
        <f>24819.0</f>
        <v>24819.0</v>
      </c>
      <c r="F22" s="23" t="n">
        <f>0.932</f>
        <v>0.932</v>
      </c>
      <c r="G22" s="21" t="n">
        <f>3635558311496.0</f>
        <v>3.635558311496E12</v>
      </c>
      <c r="H22" s="22" t="n">
        <f>608129802796.0</f>
        <v>6.08129802796E11</v>
      </c>
      <c r="I22" s="23" t="n">
        <f>0.662</f>
        <v>0.662</v>
      </c>
    </row>
    <row r="23" spans="1:9" ht="24.9" customHeight="1">
      <c r="A23" s="41"/>
      <c r="B23" s="39"/>
      <c r="C23" s="24" t="s">
        <v>18</v>
      </c>
      <c r="D23" s="25" t="n">
        <f>1341710.0</f>
        <v>1341710.0</v>
      </c>
      <c r="E23" s="26" t="n">
        <f>57854.0</f>
        <v>57854.0</v>
      </c>
      <c r="F23" s="27" t="n">
        <f>0.946</f>
        <v>0.946</v>
      </c>
      <c r="G23" s="25" t="n">
        <f>8273174637556.0</f>
        <v>8.273174637556E12</v>
      </c>
      <c r="H23" s="26" t="n">
        <f>980146766906.0</f>
        <v>9.80146766906E11</v>
      </c>
      <c r="I23" s="27" t="n">
        <f>0.632</f>
        <v>0.632</v>
      </c>
    </row>
    <row r="24" spans="1:9" ht="24.9" customHeight="1">
      <c r="A24" s="41"/>
      <c r="B24" s="39" t="s">
        <v>22</v>
      </c>
      <c r="C24" s="16" t="s">
        <v>15</v>
      </c>
      <c r="D24" s="17" t="n">
        <f>11674.0</f>
        <v>11674.0</v>
      </c>
      <c r="E24" s="18" t="n">
        <f>0.0</f>
        <v>0.0</v>
      </c>
      <c r="F24" s="19" t="n">
        <f>0.019</f>
        <v>0.019</v>
      </c>
      <c r="G24" s="17" t="n">
        <f>93009628450.0</f>
        <v>9.300962845E10</v>
      </c>
      <c r="H24" s="18" t="n">
        <f>0.0</f>
        <v>0.0</v>
      </c>
      <c r="I24" s="19" t="n">
        <f>0.022</f>
        <v>0.022</v>
      </c>
    </row>
    <row r="25" spans="1:9" ht="24.9" customHeight="1">
      <c r="A25" s="41"/>
      <c r="B25" s="39"/>
      <c r="C25" s="20" t="s">
        <v>16</v>
      </c>
      <c r="D25" s="21" t="n">
        <f>5478.0</f>
        <v>5478.0</v>
      </c>
      <c r="E25" s="22" t="n">
        <f>0.0</f>
        <v>0.0</v>
      </c>
      <c r="F25" s="23" t="n">
        <f>0.017</f>
        <v>0.017</v>
      </c>
      <c r="G25" s="21" t="n">
        <f>56643023650.0</f>
        <v>5.664302365E10</v>
      </c>
      <c r="H25" s="22" t="n">
        <f>0.0</f>
        <v>0.0</v>
      </c>
      <c r="I25" s="23" t="n">
        <f>0.017</f>
        <v>0.017</v>
      </c>
    </row>
    <row r="26" spans="1:9" ht="24.9" customHeight="1">
      <c r="A26" s="41"/>
      <c r="B26" s="39"/>
      <c r="C26" s="20" t="s">
        <v>17</v>
      </c>
      <c r="D26" s="21" t="n">
        <f>11825.0</f>
        <v>11825.0</v>
      </c>
      <c r="E26" s="22" t="n">
        <f>0.0</f>
        <v>0.0</v>
      </c>
      <c r="F26" s="23" t="n">
        <f>0.025</f>
        <v>0.025</v>
      </c>
      <c r="G26" s="21" t="n">
        <f>47842964200.0</f>
        <v>4.78429642E10</v>
      </c>
      <c r="H26" s="22" t="n">
        <f>0.0</f>
        <v>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28977.0</f>
        <v>28977.0</v>
      </c>
      <c r="E27" s="26" t="n">
        <f>0.0</f>
        <v>0.0</v>
      </c>
      <c r="F27" s="27" t="n">
        <f>0.02</f>
        <v>0.02</v>
      </c>
      <c r="G27" s="25" t="n">
        <f>197495616300.0</f>
        <v>1.974956163E11</v>
      </c>
      <c r="H27" s="26" t="n">
        <f>0.0</f>
        <v>0.0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487.0</f>
        <v>487.0</v>
      </c>
      <c r="E28" s="18" t="n">
        <f>0.0</f>
        <v>0.0</v>
      </c>
      <c r="F28" s="19" t="n">
        <f>0.001</f>
        <v>0.001</v>
      </c>
      <c r="G28" s="17" t="n">
        <f>2322363000.0</f>
        <v>2.322363E9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194.0</f>
        <v>194.0</v>
      </c>
      <c r="E29" s="22" t="n">
        <f>30.0</f>
        <v>30.0</v>
      </c>
      <c r="F29" s="23" t="n">
        <f>0.001</f>
        <v>0.001</v>
      </c>
      <c r="G29" s="21" t="n">
        <f>1328330700.0</f>
        <v>1.3283307E9</v>
      </c>
      <c r="H29" s="22" t="n">
        <f>536263200.0</f>
        <v>5.362632E8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4611.0</f>
        <v>4611.0</v>
      </c>
      <c r="E30" s="22" t="n">
        <f>1.0</f>
        <v>1.0</v>
      </c>
      <c r="F30" s="23" t="n">
        <f>0.01</f>
        <v>0.01</v>
      </c>
      <c r="G30" s="21" t="n">
        <f>22213757000.0</f>
        <v>2.2213757E10</v>
      </c>
      <c r="H30" s="22" t="n">
        <f>5230000.0</f>
        <v>5230000.0</v>
      </c>
      <c r="I30" s="23" t="n">
        <f>0.004</f>
        <v>0.004</v>
      </c>
    </row>
    <row r="31" spans="1:9" ht="24.9" customHeight="1">
      <c r="A31" s="38"/>
      <c r="B31" s="39"/>
      <c r="C31" s="24" t="s">
        <v>18</v>
      </c>
      <c r="D31" s="25" t="n">
        <f>5292.0</f>
        <v>5292.0</v>
      </c>
      <c r="E31" s="26" t="n">
        <f>31.0</f>
        <v>31.0</v>
      </c>
      <c r="F31" s="27" t="n">
        <f>0.004</f>
        <v>0.004</v>
      </c>
      <c r="G31" s="25" t="n">
        <f>25864450700.0</f>
        <v>2.58644507E10</v>
      </c>
      <c r="H31" s="26" t="n">
        <f>541493200.0</f>
        <v>5.414932E8</v>
      </c>
      <c r="I31" s="27" t="n">
        <f>0.002</f>
        <v>0.002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46309.0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46309.0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15922</f>
        <v>15922.0</v>
      </c>
      <c r="E11" s="18" t="n">
        <f>5352</f>
        <v>5352.0</v>
      </c>
      <c r="F11" s="19" t="n">
        <f>1</f>
        <v>1.0</v>
      </c>
      <c r="G11" s="17" t="n">
        <f>3999112250</f>
        <v>3.99911225E9</v>
      </c>
      <c r="H11" s="18" t="n">
        <f>2964459550</f>
        <v>2.96445955E9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22415</f>
        <v>22415.0</v>
      </c>
      <c r="E12" s="22" t="n">
        <f>6339</f>
        <v>6339.0</v>
      </c>
      <c r="F12" s="23" t="n">
        <f>1</f>
        <v>1.0</v>
      </c>
      <c r="G12" s="21" t="n">
        <f>6230852011</f>
        <v>6.230852011E9</v>
      </c>
      <c r="H12" s="22" t="n">
        <f>4962180140</f>
        <v>4.96218014E9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41289</f>
        <v>41289.0</v>
      </c>
      <c r="E13" s="22" t="n">
        <f>20786</f>
        <v>20786.0</v>
      </c>
      <c r="F13" s="23" t="n">
        <f>1</f>
        <v>1.0</v>
      </c>
      <c r="G13" s="21" t="n">
        <f>18646078761</f>
        <v>1.8646078761E10</v>
      </c>
      <c r="H13" s="22" t="n">
        <f>15638884106</f>
        <v>1.5638884106E10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79626</f>
        <v>79626.0</v>
      </c>
      <c r="E14" s="26" t="n">
        <f>32477</f>
        <v>32477.0</v>
      </c>
      <c r="F14" s="27" t="n">
        <f>1</f>
        <v>1.0</v>
      </c>
      <c r="G14" s="25" t="n">
        <f>28876043022</f>
        <v>2.8876043022E10</v>
      </c>
      <c r="H14" s="26" t="n">
        <f>23565523796</f>
        <v>2.3565523796E10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131</f>
        <v>131.0</v>
      </c>
      <c r="E16" s="22" t="n">
        <f>0</f>
        <v>0.0</v>
      </c>
      <c r="F16" s="23" t="n">
        <f>0.006</f>
        <v>0.006</v>
      </c>
      <c r="G16" s="21" t="n">
        <f>8450000</f>
        <v>8450000.0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321</f>
        <v>321.0</v>
      </c>
      <c r="E17" s="22" t="n">
        <f>0</f>
        <v>0.0</v>
      </c>
      <c r="F17" s="23" t="n">
        <f>0.008</f>
        <v>0.008</v>
      </c>
      <c r="G17" s="21" t="n">
        <f>30800000</f>
        <v>3.08E7</v>
      </c>
      <c r="H17" s="22" t="n">
        <f>0</f>
        <v>0.0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452</f>
        <v>452.0</v>
      </c>
      <c r="E18" s="26" t="n">
        <f>0</f>
        <v>0.0</v>
      </c>
      <c r="F18" s="27" t="n">
        <f>0.006</f>
        <v>0.006</v>
      </c>
      <c r="G18" s="25" t="n">
        <f>39250000</f>
        <v>3.925E7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15922</f>
        <v>15922.0</v>
      </c>
      <c r="E19" s="18" t="n">
        <f>5352</f>
        <v>5352.0</v>
      </c>
      <c r="F19" s="19" t="n">
        <f>1</f>
        <v>1.0</v>
      </c>
      <c r="G19" s="17" t="n">
        <f>3999112250</f>
        <v>3.99911225E9</v>
      </c>
      <c r="H19" s="18" t="n">
        <f>2964459550</f>
        <v>2.96445955E9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21126</f>
        <v>21126.0</v>
      </c>
      <c r="E20" s="22" t="n">
        <f>6339</f>
        <v>6339.0</v>
      </c>
      <c r="F20" s="23" t="n">
        <f>0.942</f>
        <v>0.942</v>
      </c>
      <c r="G20" s="21" t="n">
        <f>6206612040</f>
        <v>6.20661204E9</v>
      </c>
      <c r="H20" s="22" t="n">
        <f>4962180140</f>
        <v>4.96218014E9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39701</f>
        <v>39701.0</v>
      </c>
      <c r="E21" s="22" t="n">
        <f>20786</f>
        <v>20786.0</v>
      </c>
      <c r="F21" s="23" t="n">
        <f>0.962</f>
        <v>0.962</v>
      </c>
      <c r="G21" s="21" t="n">
        <f>18542834306</f>
        <v>1.8542834306E10</v>
      </c>
      <c r="H21" s="22" t="n">
        <f>15638884106</f>
        <v>1.5638884106E10</v>
      </c>
      <c r="I21" s="23" t="n">
        <f>0.994</f>
        <v>0.994</v>
      </c>
    </row>
    <row r="22" spans="1:9" ht="24.9" customHeight="1">
      <c r="A22" s="41"/>
      <c r="B22" s="39"/>
      <c r="C22" s="24" t="s">
        <v>18</v>
      </c>
      <c r="D22" s="25" t="n">
        <f>76749</f>
        <v>76749.0</v>
      </c>
      <c r="E22" s="26" t="n">
        <f>32477</f>
        <v>32477.0</v>
      </c>
      <c r="F22" s="27" t="n">
        <f>0.964</f>
        <v>0.964</v>
      </c>
      <c r="G22" s="25" t="n">
        <f>28748558596</f>
        <v>2.8748558596E10</v>
      </c>
      <c r="H22" s="26" t="n">
        <f>23565523796</f>
        <v>2.3565523796E10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1158</f>
        <v>1158.0</v>
      </c>
      <c r="E24" s="22" t="n">
        <f>0</f>
        <v>0.0</v>
      </c>
      <c r="F24" s="23" t="n">
        <f>0.052</f>
        <v>0.052</v>
      </c>
      <c r="G24" s="21" t="n">
        <f>15789971</f>
        <v>1.5789971E7</v>
      </c>
      <c r="H24" s="22" t="n">
        <f>0</f>
        <v>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1267</f>
        <v>1267.0</v>
      </c>
      <c r="E25" s="22" t="n">
        <f>0</f>
        <v>0.0</v>
      </c>
      <c r="F25" s="23" t="n">
        <f>0.031</f>
        <v>0.031</v>
      </c>
      <c r="G25" s="21" t="n">
        <f>72444455</f>
        <v>7.2444455E7</v>
      </c>
      <c r="H25" s="22" t="n">
        <f>0</f>
        <v>0.0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2425</f>
        <v>2425.0</v>
      </c>
      <c r="E26" s="26" t="n">
        <f>0</f>
        <v>0.0</v>
      </c>
      <c r="F26" s="27" t="n">
        <f>0.03</f>
        <v>0.03</v>
      </c>
      <c r="G26" s="25" t="n">
        <f>88234426</f>
        <v>8.8234426E7</v>
      </c>
      <c r="H26" s="26" t="n">
        <f>0</f>
        <v>0.0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46309.0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46309.0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8063.0</v>
      </c>
      <c r="F12" s="18" t="n">
        <f>679</f>
        <v>679.0</v>
      </c>
      <c r="G12" s="17" t="n">
        <v>5.486646356E11</v>
      </c>
      <c r="H12" s="18" t="n">
        <f>46325825600</f>
        <v>4.63258256E10</v>
      </c>
    </row>
    <row r="13" spans="1:8" ht="24.9" customHeight="1">
      <c r="A13" s="51"/>
      <c r="B13" s="57"/>
      <c r="C13" s="39"/>
      <c r="D13" s="20" t="s">
        <v>16</v>
      </c>
      <c r="E13" s="21" t="n">
        <v>7542.0</v>
      </c>
      <c r="F13" s="22" t="n">
        <f>1458</f>
        <v>1458.0</v>
      </c>
      <c r="G13" s="21" t="n">
        <v>5.142008452E11</v>
      </c>
      <c r="H13" s="22" t="n">
        <f>99596305200</f>
        <v>9.95963052E10</v>
      </c>
    </row>
    <row r="14" spans="1:8" ht="24.9" customHeight="1">
      <c r="A14" s="51"/>
      <c r="B14" s="57"/>
      <c r="C14" s="39"/>
      <c r="D14" s="20" t="s">
        <v>17</v>
      </c>
      <c r="E14" s="21" t="n">
        <v>17338.0</v>
      </c>
      <c r="F14" s="22" t="n">
        <f>3816</f>
        <v>3816.0</v>
      </c>
      <c r="G14" s="21" t="n">
        <v>1.18289775237E12</v>
      </c>
      <c r="H14" s="22" t="n">
        <f>260459105370</f>
        <v>2.6045910537E11</v>
      </c>
    </row>
    <row r="15" spans="1:8" ht="24.9" customHeight="1">
      <c r="A15" s="51"/>
      <c r="B15" s="57"/>
      <c r="C15" s="39"/>
      <c r="D15" s="24" t="s">
        <v>18</v>
      </c>
      <c r="E15" s="25" t="n">
        <v>32943.0</v>
      </c>
      <c r="F15" s="26" t="n">
        <f>5953</f>
        <v>5953.0</v>
      </c>
      <c r="G15" s="25" t="n">
        <v>2.24576323317E12</v>
      </c>
      <c r="H15" s="26" t="n">
        <f>406381236170</f>
        <v>4.0638123617E11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203586.0</v>
      </c>
      <c r="F16" s="18" t="n">
        <f>21253</f>
        <v>21253.0</v>
      </c>
      <c r="G16" s="17" t="n">
        <v>1.38494021993E12</v>
      </c>
      <c r="H16" s="18" t="n">
        <f>144552756930</f>
        <v>1.4455275693E11</v>
      </c>
    </row>
    <row r="17" spans="1:8" ht="24.9" customHeight="1">
      <c r="A17" s="51"/>
      <c r="B17" s="57"/>
      <c r="C17" s="39"/>
      <c r="D17" s="20" t="s">
        <v>16</v>
      </c>
      <c r="E17" s="21" t="n">
        <v>125166.0</v>
      </c>
      <c r="F17" s="22" t="n">
        <f>8658</f>
        <v>8658.0</v>
      </c>
      <c r="G17" s="21" t="n">
        <v>8.5292452971E11</v>
      </c>
      <c r="H17" s="22" t="n">
        <f>59004795210</f>
        <v>5.900479521E10</v>
      </c>
    </row>
    <row r="18" spans="1:8" ht="24.9" customHeight="1">
      <c r="A18" s="51"/>
      <c r="B18" s="57"/>
      <c r="C18" s="39"/>
      <c r="D18" s="20" t="s">
        <v>17</v>
      </c>
      <c r="E18" s="21" t="n">
        <v>167458.0</v>
      </c>
      <c r="F18" s="22" t="n">
        <f>14596</f>
        <v>14596.0</v>
      </c>
      <c r="G18" s="21" t="n">
        <v>1.14269033304E12</v>
      </c>
      <c r="H18" s="22" t="n">
        <f>99603888540</f>
        <v>9.960388854E10</v>
      </c>
    </row>
    <row r="19" spans="1:8" ht="24.9" customHeight="1">
      <c r="A19" s="51"/>
      <c r="B19" s="57"/>
      <c r="C19" s="39"/>
      <c r="D19" s="24" t="s">
        <v>18</v>
      </c>
      <c r="E19" s="25" t="n">
        <v>496210.0</v>
      </c>
      <c r="F19" s="26" t="n">
        <f>44507</f>
        <v>44507.0</v>
      </c>
      <c r="G19" s="25" t="n">
        <v>3.38055508268E12</v>
      </c>
      <c r="H19" s="26" t="n">
        <f>303161440680</f>
        <v>3.0316144068E11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353141.0</v>
      </c>
      <c r="F20" s="18" t="str">
        <f>"－"</f>
        <v>－</v>
      </c>
      <c r="G20" s="17" t="n">
        <v>2.402129875E11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160716.0</v>
      </c>
      <c r="F21" s="22" t="str">
        <f>"－"</f>
        <v>－</v>
      </c>
      <c r="G21" s="21" t="n">
        <v>1.0952406165E11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226216.0</v>
      </c>
      <c r="F22" s="22" t="str">
        <f>"－"</f>
        <v>－</v>
      </c>
      <c r="G22" s="21" t="n">
        <v>1.543660402E11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740073.0</v>
      </c>
      <c r="F23" s="26" t="str">
        <f>"－"</f>
        <v>－</v>
      </c>
      <c r="G23" s="25" t="n">
        <v>5.0410308935E11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10771.0</v>
      </c>
      <c r="F24" s="18" t="n">
        <f>268</f>
        <v>268.0</v>
      </c>
      <c r="G24" s="17" t="n">
        <v>4.447009285E11</v>
      </c>
      <c r="H24" s="18" t="n">
        <f>11079018500</f>
        <v>1.10790185E10</v>
      </c>
    </row>
    <row r="25" spans="1:8" ht="24.9" customHeight="1">
      <c r="A25" s="51"/>
      <c r="B25" s="57"/>
      <c r="C25" s="39"/>
      <c r="D25" s="20" t="s">
        <v>16</v>
      </c>
      <c r="E25" s="21" t="n">
        <v>12032.0</v>
      </c>
      <c r="F25" s="22" t="n">
        <f>232</f>
        <v>232.0</v>
      </c>
      <c r="G25" s="21" t="n">
        <v>4.950684155E11</v>
      </c>
      <c r="H25" s="22" t="n">
        <f>9553410500</f>
        <v>9.5534105E9</v>
      </c>
    </row>
    <row r="26" spans="1:8" ht="24.9" customHeight="1">
      <c r="A26" s="51"/>
      <c r="B26" s="57"/>
      <c r="C26" s="39"/>
      <c r="D26" s="20" t="s">
        <v>17</v>
      </c>
      <c r="E26" s="21" t="n">
        <v>27199.0</v>
      </c>
      <c r="F26" s="22" t="n">
        <f>5994</f>
        <v>5994.0</v>
      </c>
      <c r="G26" s="21" t="n">
        <v>1.1189362518E12</v>
      </c>
      <c r="H26" s="22" t="n">
        <f>246231076800</f>
        <v>2.462310768E11</v>
      </c>
    </row>
    <row r="27" spans="1:8" ht="24.9" customHeight="1">
      <c r="A27" s="51"/>
      <c r="B27" s="57"/>
      <c r="C27" s="39"/>
      <c r="D27" s="24" t="s">
        <v>18</v>
      </c>
      <c r="E27" s="25" t="n">
        <v>50002.0</v>
      </c>
      <c r="F27" s="26" t="n">
        <f>6494</f>
        <v>6494.0</v>
      </c>
      <c r="G27" s="25" t="n">
        <v>2.0587055958E12</v>
      </c>
      <c r="H27" s="26" t="n">
        <f>266863505800</f>
        <v>2.668635058E11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4647.0</v>
      </c>
      <c r="F28" s="18" t="n">
        <f>256</f>
        <v>256.0</v>
      </c>
      <c r="G28" s="17" t="n">
        <v>1.918502685E10</v>
      </c>
      <c r="H28" s="18" t="n">
        <f>1056616850</f>
        <v>1.05661685E9</v>
      </c>
    </row>
    <row r="29" spans="1:8" ht="24.9" customHeight="1">
      <c r="A29" s="51"/>
      <c r="B29" s="57"/>
      <c r="C29" s="39"/>
      <c r="D29" s="20" t="s">
        <v>16</v>
      </c>
      <c r="E29" s="21" t="n">
        <v>5386.0</v>
      </c>
      <c r="F29" s="22" t="n">
        <f>176</f>
        <v>176.0</v>
      </c>
      <c r="G29" s="21" t="n">
        <v>2.21660328E10</v>
      </c>
      <c r="H29" s="22" t="n">
        <f>724086300</f>
        <v>7.240863E8</v>
      </c>
    </row>
    <row r="30" spans="1:8" ht="24.9" customHeight="1">
      <c r="A30" s="51"/>
      <c r="B30" s="57"/>
      <c r="C30" s="39"/>
      <c r="D30" s="20" t="s">
        <v>17</v>
      </c>
      <c r="E30" s="21" t="n">
        <v>7464.0</v>
      </c>
      <c r="F30" s="22" t="n">
        <f>167</f>
        <v>167.0</v>
      </c>
      <c r="G30" s="21" t="n">
        <v>3.071433725E10</v>
      </c>
      <c r="H30" s="22" t="n">
        <f>686889750</f>
        <v>6.8688975E8</v>
      </c>
    </row>
    <row r="31" spans="1:8" ht="24.9" customHeight="1">
      <c r="A31" s="51"/>
      <c r="B31" s="57"/>
      <c r="C31" s="39"/>
      <c r="D31" s="24" t="s">
        <v>18</v>
      </c>
      <c r="E31" s="25" t="n">
        <v>17497.0</v>
      </c>
      <c r="F31" s="26" t="n">
        <f>599</f>
        <v>599.0</v>
      </c>
      <c r="G31" s="25" t="n">
        <v>7.20653969E10</v>
      </c>
      <c r="H31" s="26" t="n">
        <f>2467592900</f>
        <v>2.4675929E9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344.0</v>
      </c>
      <c r="F36" s="18" t="n">
        <f>1</f>
        <v>1.0</v>
      </c>
      <c r="G36" s="17" t="n">
        <v>1.27953201E9</v>
      </c>
      <c r="H36" s="18" t="n">
        <f>3718510</f>
        <v>3718510.0</v>
      </c>
    </row>
    <row r="37" spans="1:8" ht="24.9" customHeight="1">
      <c r="A37" s="51"/>
      <c r="B37" s="57"/>
      <c r="C37" s="39"/>
      <c r="D37" s="20" t="s">
        <v>16</v>
      </c>
      <c r="E37" s="21" t="n">
        <v>281.0</v>
      </c>
      <c r="F37" s="22" t="n">
        <f>1</f>
        <v>1.0</v>
      </c>
      <c r="G37" s="21" t="n">
        <v>1.0424355E9</v>
      </c>
      <c r="H37" s="22" t="n">
        <f>3705000</f>
        <v>3705000.0</v>
      </c>
    </row>
    <row r="38" spans="1:8" ht="24.9" customHeight="1">
      <c r="A38" s="51"/>
      <c r="B38" s="57"/>
      <c r="C38" s="39"/>
      <c r="D38" s="20" t="s">
        <v>17</v>
      </c>
      <c r="E38" s="21" t="n">
        <v>1030.0</v>
      </c>
      <c r="F38" s="22" t="n">
        <f>90</f>
        <v>90.0</v>
      </c>
      <c r="G38" s="21" t="n">
        <v>3.825062076E9</v>
      </c>
      <c r="H38" s="22" t="n">
        <f>333647576</f>
        <v>3.33647576E8</v>
      </c>
    </row>
    <row r="39" spans="1:8" ht="24.9" customHeight="1">
      <c r="A39" s="51"/>
      <c r="B39" s="57"/>
      <c r="C39" s="39"/>
      <c r="D39" s="24" t="s">
        <v>18</v>
      </c>
      <c r="E39" s="25" t="n">
        <v>1655.0</v>
      </c>
      <c r="F39" s="26" t="n">
        <f>92</f>
        <v>92.0</v>
      </c>
      <c r="G39" s="25" t="n">
        <v>6.147029586E9</v>
      </c>
      <c r="H39" s="26" t="n">
        <f>341071086</f>
        <v>3.41071086E8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106.0</v>
      </c>
      <c r="F46" s="22" t="n">
        <f>106</f>
        <v>106.0</v>
      </c>
      <c r="G46" s="21" t="n">
        <v>7.70945E8</v>
      </c>
      <c r="H46" s="22" t="n">
        <f>770945000</f>
        <v>7.70945E8</v>
      </c>
    </row>
    <row r="47" spans="1:8" ht="24.9" customHeight="1">
      <c r="A47" s="51"/>
      <c r="B47" s="57"/>
      <c r="C47" s="39"/>
      <c r="D47" s="24" t="s">
        <v>18</v>
      </c>
      <c r="E47" s="25" t="n">
        <v>106.0</v>
      </c>
      <c r="F47" s="26" t="n">
        <f>106</f>
        <v>106.0</v>
      </c>
      <c r="G47" s="25" t="n">
        <v>7.70945E8</v>
      </c>
      <c r="H47" s="26" t="n">
        <f>770945000</f>
        <v>7.70945E8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25.0</v>
      </c>
      <c r="F48" s="18" t="n">
        <f>25</f>
        <v>25.0</v>
      </c>
      <c r="G48" s="17" t="n">
        <v>4.13035E7</v>
      </c>
      <c r="H48" s="18" t="n">
        <f>41303500</f>
        <v>4.13035E7</v>
      </c>
    </row>
    <row r="49" spans="1:8" ht="24.9" customHeight="1">
      <c r="A49" s="51"/>
      <c r="B49" s="57"/>
      <c r="C49" s="39"/>
      <c r="D49" s="20" t="s">
        <v>16</v>
      </c>
      <c r="E49" s="21" t="n">
        <v>47.0</v>
      </c>
      <c r="F49" s="22" t="n">
        <f>0</f>
        <v>0.0</v>
      </c>
      <c r="G49" s="21" t="n">
        <v>7.75755E7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190.0</v>
      </c>
      <c r="F50" s="22" t="n">
        <f>1</f>
        <v>1.0</v>
      </c>
      <c r="G50" s="21" t="n">
        <v>3.1334853E8</v>
      </c>
      <c r="H50" s="22" t="n">
        <f>1645030</f>
        <v>1645030.0</v>
      </c>
    </row>
    <row r="51" spans="1:8" ht="24.9" customHeight="1">
      <c r="A51" s="51"/>
      <c r="B51" s="57"/>
      <c r="C51" s="39"/>
      <c r="D51" s="24" t="s">
        <v>18</v>
      </c>
      <c r="E51" s="25" t="n">
        <v>262.0</v>
      </c>
      <c r="F51" s="26" t="n">
        <f>26</f>
        <v>26.0</v>
      </c>
      <c r="G51" s="25" t="n">
        <v>4.3222753E8</v>
      </c>
      <c r="H51" s="26" t="n">
        <f>42948530</f>
        <v>4.294853E7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387.0</v>
      </c>
      <c r="F56" s="18" t="n">
        <f>15</f>
        <v>15.0</v>
      </c>
      <c r="G56" s="17" t="n">
        <v>3.05034E8</v>
      </c>
      <c r="H56" s="18" t="n">
        <f>11831000</f>
        <v>1.1831E7</v>
      </c>
    </row>
    <row r="57" spans="1:8" ht="24.9" customHeight="1">
      <c r="A57" s="51"/>
      <c r="B57" s="57"/>
      <c r="C57" s="39"/>
      <c r="D57" s="20" t="s">
        <v>16</v>
      </c>
      <c r="E57" s="21" t="n">
        <v>753.0</v>
      </c>
      <c r="F57" s="22" t="n">
        <f>1</f>
        <v>1.0</v>
      </c>
      <c r="G57" s="21" t="n">
        <v>5.90807E8</v>
      </c>
      <c r="H57" s="22" t="n">
        <f>785000</f>
        <v>785000.0</v>
      </c>
    </row>
    <row r="58" spans="1:8" ht="24.9" customHeight="1">
      <c r="A58" s="51"/>
      <c r="B58" s="57"/>
      <c r="C58" s="39"/>
      <c r="D58" s="20" t="s">
        <v>17</v>
      </c>
      <c r="E58" s="21" t="n">
        <v>1045.0</v>
      </c>
      <c r="F58" s="22" t="n">
        <f>48</f>
        <v>48.0</v>
      </c>
      <c r="G58" s="21" t="n">
        <v>8.1275443E8</v>
      </c>
      <c r="H58" s="22" t="n">
        <f>37411430</f>
        <v>3.741143E7</v>
      </c>
    </row>
    <row r="59" spans="1:8" ht="24.9" customHeight="1">
      <c r="A59" s="51"/>
      <c r="B59" s="57"/>
      <c r="C59" s="39"/>
      <c r="D59" s="24" t="s">
        <v>18</v>
      </c>
      <c r="E59" s="25" t="n">
        <v>2185.0</v>
      </c>
      <c r="F59" s="26" t="n">
        <f>64</f>
        <v>64.0</v>
      </c>
      <c r="G59" s="25" t="n">
        <v>1.70859543E9</v>
      </c>
      <c r="H59" s="26" t="n">
        <f>50027430</f>
        <v>5.002743E7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425.0</v>
      </c>
      <c r="F60" s="18" t="n">
        <f>12</f>
        <v>12.0</v>
      </c>
      <c r="G60" s="17" t="n">
        <v>2.22186001E9</v>
      </c>
      <c r="H60" s="18" t="n">
        <f>62806010</f>
        <v>6.280601E7</v>
      </c>
    </row>
    <row r="61" spans="1:8" ht="24.9" customHeight="1">
      <c r="A61" s="51"/>
      <c r="B61" s="57"/>
      <c r="C61" s="39"/>
      <c r="D61" s="20" t="s">
        <v>16</v>
      </c>
      <c r="E61" s="21" t="n">
        <v>19.0</v>
      </c>
      <c r="F61" s="22" t="n">
        <f>0</f>
        <v>0.0</v>
      </c>
      <c r="G61" s="21" t="n">
        <v>9.86154E7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16.0</v>
      </c>
      <c r="F62" s="22" t="n">
        <f>1</f>
        <v>1.0</v>
      </c>
      <c r="G62" s="21" t="n">
        <v>8.31976E7</v>
      </c>
      <c r="H62" s="22" t="n">
        <f>5193300</f>
        <v>5193300.0</v>
      </c>
    </row>
    <row r="63" spans="1:8" ht="24.9" customHeight="1">
      <c r="A63" s="51"/>
      <c r="B63" s="57"/>
      <c r="C63" s="39"/>
      <c r="D63" s="24" t="s">
        <v>18</v>
      </c>
      <c r="E63" s="25" t="n">
        <v>460.0</v>
      </c>
      <c r="F63" s="26" t="n">
        <f>13</f>
        <v>13.0</v>
      </c>
      <c r="G63" s="25" t="n">
        <v>2.40367301E9</v>
      </c>
      <c r="H63" s="26" t="n">
        <f>67999310</f>
        <v>6.799931E7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308500.0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291000.0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599500.0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150.0</v>
      </c>
      <c r="F92" s="18" t="n">
        <f>0</f>
        <v>0.0</v>
      </c>
      <c r="G92" s="17" t="n">
        <v>2.360488E8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14.0</v>
      </c>
      <c r="F93" s="22" t="n">
        <f>0</f>
        <v>0.0</v>
      </c>
      <c r="G93" s="21" t="n">
        <v>2.20708E7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94.0</v>
      </c>
      <c r="F94" s="22" t="n">
        <f>0</f>
        <v>0.0</v>
      </c>
      <c r="G94" s="21" t="n">
        <v>1.479982E8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258.0</v>
      </c>
      <c r="F95" s="26" t="n">
        <f>0</f>
        <v>0.0</v>
      </c>
      <c r="G95" s="25" t="n">
        <v>4.061178E8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21.0</v>
      </c>
      <c r="F96" s="18" t="n">
        <f>0</f>
        <v>0.0</v>
      </c>
      <c r="G96" s="17" t="n">
        <v>4.9573E7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21.0</v>
      </c>
      <c r="F99" s="26" t="n">
        <f>0</f>
        <v>0.0</v>
      </c>
      <c r="G99" s="25" t="n">
        <v>4.9573E7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36.0</v>
      </c>
      <c r="F100" s="18" t="n">
        <f>0</f>
        <v>0.0</v>
      </c>
      <c r="G100" s="17" t="n">
        <v>6.34788E7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36.0</v>
      </c>
      <c r="F103" s="26" t="n">
        <f>0</f>
        <v>0.0</v>
      </c>
      <c r="G103" s="25" t="n">
        <v>6.34788E7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11284.0</v>
      </c>
      <c r="F108" s="18" t="n">
        <f>150</f>
        <v>150.0</v>
      </c>
      <c r="G108" s="17" t="n">
        <v>1.40908152E12</v>
      </c>
      <c r="H108" s="18" t="n">
        <f>18738850000</f>
        <v>1.873885E10</v>
      </c>
    </row>
    <row r="109" spans="1:8" ht="24.9" customHeight="1">
      <c r="A109" s="51"/>
      <c r="B109" s="57"/>
      <c r="C109" s="39"/>
      <c r="D109" s="20" t="s">
        <v>16</v>
      </c>
      <c r="E109" s="21" t="n">
        <v>10337.0</v>
      </c>
      <c r="F109" s="22" t="n">
        <f>903</f>
        <v>903.0</v>
      </c>
      <c r="G109" s="21" t="n">
        <v>1.290733295E12</v>
      </c>
      <c r="H109" s="22" t="n">
        <f>112736935000</f>
        <v>1.12736935E11</v>
      </c>
    </row>
    <row r="110" spans="1:8" ht="24.9" customHeight="1">
      <c r="A110" s="51"/>
      <c r="B110" s="57"/>
      <c r="C110" s="39"/>
      <c r="D110" s="20" t="s">
        <v>17</v>
      </c>
      <c r="E110" s="21" t="n">
        <v>14135.0</v>
      </c>
      <c r="F110" s="22" t="n">
        <f>1068</f>
        <v>1068.0</v>
      </c>
      <c r="G110" s="21" t="n">
        <v>1.76651648E12</v>
      </c>
      <c r="H110" s="22" t="n">
        <f>133433560000</f>
        <v>1.3343356E11</v>
      </c>
    </row>
    <row r="111" spans="1:8" ht="24.9" customHeight="1">
      <c r="A111" s="51"/>
      <c r="B111" s="57"/>
      <c r="C111" s="39"/>
      <c r="D111" s="24" t="s">
        <v>18</v>
      </c>
      <c r="E111" s="25" t="n">
        <v>35756.0</v>
      </c>
      <c r="F111" s="26" t="n">
        <f>2121</f>
        <v>2121.0</v>
      </c>
      <c r="G111" s="25" t="n">
        <v>4.466331295E12</v>
      </c>
      <c r="H111" s="26" t="n">
        <f>264909345000</f>
        <v>2.64909345E11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1500.0</v>
      </c>
      <c r="F113" s="22" t="n">
        <f>0</f>
        <v>0.0</v>
      </c>
      <c r="G113" s="21" t="n">
        <v>1.872825E10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1186.0</v>
      </c>
      <c r="F114" s="22" t="n">
        <f>0</f>
        <v>0.0</v>
      </c>
      <c r="G114" s="21" t="n">
        <v>1.4820074E10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2686.0</v>
      </c>
      <c r="F115" s="26" t="n">
        <f>0</f>
        <v>0.0</v>
      </c>
      <c r="G115" s="25" t="n">
        <v>3.3548324E10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804.0</v>
      </c>
      <c r="F118" s="22" t="n">
        <f>0</f>
        <v>0.0</v>
      </c>
      <c r="G118" s="21" t="n">
        <v>7.120176E9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804.0</v>
      </c>
      <c r="F119" s="26" t="n">
        <f>0</f>
        <v>0.0</v>
      </c>
      <c r="G119" s="25" t="n">
        <v>7.120176E9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1747.0</v>
      </c>
      <c r="F120" s="18" t="n">
        <f>0</f>
        <v>0.0</v>
      </c>
      <c r="G120" s="17" t="n">
        <v>4.3028573125E10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1665.0</v>
      </c>
      <c r="F121" s="22" t="n">
        <f>0</f>
        <v>0.0</v>
      </c>
      <c r="G121" s="21" t="n">
        <v>4.1121046875E10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52.0</v>
      </c>
      <c r="F122" s="22" t="n">
        <f>0</f>
        <v>0.0</v>
      </c>
      <c r="G122" s="21" t="n">
        <v>1.2805475E9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3464.0</v>
      </c>
      <c r="F123" s="26" t="n">
        <f>0</f>
        <v>0.0</v>
      </c>
      <c r="G123" s="25" t="n">
        <v>8.54301675E10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3415.0</v>
      </c>
      <c r="F124" s="18" t="n">
        <f>0</f>
        <v>0.0</v>
      </c>
      <c r="G124" s="17" t="n">
        <v>7.4251853E10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2263.0</v>
      </c>
      <c r="F125" s="22" t="n">
        <f>0</f>
        <v>0.0</v>
      </c>
      <c r="G125" s="21" t="n">
        <v>4.8944206E10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1153.0</v>
      </c>
      <c r="F126" s="22" t="n">
        <f>0</f>
        <v>0.0</v>
      </c>
      <c r="G126" s="21" t="n">
        <v>2.4921033E10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6831.0</v>
      </c>
      <c r="F127" s="26" t="n">
        <f>0</f>
        <v>0.0</v>
      </c>
      <c r="G127" s="25" t="n">
        <v>1.48117092E11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2244.0</v>
      </c>
      <c r="F128" s="18" t="n">
        <f>0</f>
        <v>0.0</v>
      </c>
      <c r="G128" s="17" t="n">
        <v>4.8253596E9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412.0</v>
      </c>
      <c r="F129" s="22" t="n">
        <f>0</f>
        <v>0.0</v>
      </c>
      <c r="G129" s="21" t="n">
        <v>8.808423E8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4580.0</v>
      </c>
      <c r="F130" s="22" t="n">
        <f>0</f>
        <v>0.0</v>
      </c>
      <c r="G130" s="21" t="n">
        <v>9.7902526E9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7236.0</v>
      </c>
      <c r="F131" s="26" t="n">
        <f>0</f>
        <v>0.0</v>
      </c>
      <c r="G131" s="25" t="n">
        <v>1.54964545E10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4269.0</v>
      </c>
      <c r="F132" s="18" t="n">
        <f>0</f>
        <v>0.0</v>
      </c>
      <c r="G132" s="17" t="n">
        <v>9.31459525E9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1639.0</v>
      </c>
      <c r="F133" s="22" t="n">
        <f>0</f>
        <v>0.0</v>
      </c>
      <c r="G133" s="21" t="n">
        <v>3.562105E9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2353.0</v>
      </c>
      <c r="F134" s="22" t="n">
        <f>0</f>
        <v>0.0</v>
      </c>
      <c r="G134" s="21" t="n">
        <v>5.11279335E9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8261.0</v>
      </c>
      <c r="F135" s="26" t="n">
        <f>0</f>
        <v>0.0</v>
      </c>
      <c r="G135" s="25" t="n">
        <v>1.79894936E10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7.0</v>
      </c>
      <c r="F136" s="18" t="n">
        <f>0</f>
        <v>0.0</v>
      </c>
      <c r="G136" s="17" t="n">
        <v>1.48584E7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11.0</v>
      </c>
      <c r="F137" s="22" t="n">
        <f>0</f>
        <v>0.0</v>
      </c>
      <c r="G137" s="21" t="n">
        <v>2.32156E7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31.0</v>
      </c>
      <c r="F138" s="22" t="n">
        <f>0</f>
        <v>0.0</v>
      </c>
      <c r="G138" s="21" t="n">
        <v>6.54892E7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49.0</v>
      </c>
      <c r="F139" s="26" t="n">
        <f>0</f>
        <v>0.0</v>
      </c>
      <c r="G139" s="25" t="n">
        <v>1.035632E8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873.0</v>
      </c>
      <c r="F144" s="18" t="n">
        <f>0</f>
        <v>0.0</v>
      </c>
      <c r="G144" s="17" t="n">
        <v>3.654083E9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629.0</v>
      </c>
      <c r="F145" s="22" t="n">
        <f>0</f>
        <v>0.0</v>
      </c>
      <c r="G145" s="21" t="n">
        <v>2.589131E9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1372.0</v>
      </c>
      <c r="F146" s="22" t="n">
        <f>0</f>
        <v>0.0</v>
      </c>
      <c r="G146" s="21" t="n">
        <v>5.6880625E9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2874.0</v>
      </c>
      <c r="F147" s="26" t="n">
        <f>0</f>
        <v>0.0</v>
      </c>
      <c r="G147" s="25" t="n">
        <v>1.19312765E10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216.0</v>
      </c>
      <c r="F148" s="18" t="n">
        <f>0</f>
        <v>0.0</v>
      </c>
      <c r="G148" s="17" t="n">
        <v>1.873229E8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40.0</v>
      </c>
      <c r="F149" s="22" t="n">
        <f>0</f>
        <v>0.0</v>
      </c>
      <c r="G149" s="21" t="n">
        <v>3.38868E7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1139.0</v>
      </c>
      <c r="F150" s="22" t="n">
        <f>0</f>
        <v>0.0</v>
      </c>
      <c r="G150" s="21" t="n">
        <v>9.704636E8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1395.0</v>
      </c>
      <c r="F151" s="26" t="n">
        <f>0</f>
        <v>0.0</v>
      </c>
      <c r="G151" s="25" t="n">
        <v>1.1916733E9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405.0</v>
      </c>
      <c r="F152" s="18" t="n">
        <f>0</f>
        <v>0.0</v>
      </c>
      <c r="G152" s="17" t="n">
        <v>3.403973E8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301.0</v>
      </c>
      <c r="F153" s="22" t="n">
        <f>0</f>
        <v>0.0</v>
      </c>
      <c r="G153" s="21" t="n">
        <v>2.4917545E8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413.0</v>
      </c>
      <c r="F154" s="22" t="n">
        <f>0</f>
        <v>0.0</v>
      </c>
      <c r="G154" s="21" t="n">
        <v>3.4264375E8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1119.0</v>
      </c>
      <c r="F155" s="26" t="n">
        <f>0</f>
        <v>0.0</v>
      </c>
      <c r="G155" s="25" t="n">
        <v>9.322165E8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94.0</v>
      </c>
      <c r="F156" s="18" t="n">
        <f>0</f>
        <v>0.0</v>
      </c>
      <c r="G156" s="17" t="n">
        <v>8.1251E7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39.0</v>
      </c>
      <c r="F157" s="22" t="n">
        <f>0</f>
        <v>0.0</v>
      </c>
      <c r="G157" s="21" t="n">
        <v>3.26775E7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580.0</v>
      </c>
      <c r="F158" s="22" t="n">
        <f>0</f>
        <v>0.0</v>
      </c>
      <c r="G158" s="21" t="n">
        <v>4.875517E8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713.0</v>
      </c>
      <c r="F159" s="26" t="n">
        <f>0</f>
        <v>0.0</v>
      </c>
      <c r="G159" s="25" t="n">
        <v>6.014802E8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141.0</v>
      </c>
      <c r="F168" s="18" t="n">
        <f>0</f>
        <v>0.0</v>
      </c>
      <c r="G168" s="17" t="n">
        <v>3.19613E8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144.0</v>
      </c>
      <c r="F169" s="22" t="n">
        <f>0</f>
        <v>0.0</v>
      </c>
      <c r="G169" s="21" t="n">
        <v>3.27784E8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199.0</v>
      </c>
      <c r="F170" s="22" t="n">
        <f>0</f>
        <v>0.0</v>
      </c>
      <c r="G170" s="21" t="n">
        <v>4.545935E8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484.0</v>
      </c>
      <c r="F171" s="26" t="n">
        <f>0</f>
        <v>0.0</v>
      </c>
      <c r="G171" s="25" t="n">
        <v>1.1019905E9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10.0</v>
      </c>
      <c r="F176" s="18" t="n">
        <f>0</f>
        <v>0.0</v>
      </c>
      <c r="G176" s="17" t="n">
        <v>2.0295E7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5.0</v>
      </c>
      <c r="F178" s="22" t="n">
        <f>0</f>
        <v>0.0</v>
      </c>
      <c r="G178" s="21" t="n">
        <v>1.0081E7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15.0</v>
      </c>
      <c r="F179" s="26" t="n">
        <f>0</f>
        <v>0.0</v>
      </c>
      <c r="G179" s="25" t="n">
        <v>3.0376E7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487.0</v>
      </c>
      <c r="F204" s="18" t="n">
        <f>0</f>
        <v>0.0</v>
      </c>
      <c r="G204" s="17" t="n">
        <v>2.322363E9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164.0</v>
      </c>
      <c r="F205" s="22" t="n">
        <f>0</f>
        <v>0.0</v>
      </c>
      <c r="G205" s="21" t="n">
        <v>7.920675E8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4611.0</v>
      </c>
      <c r="F206" s="22" t="n">
        <f>1</f>
        <v>1.0</v>
      </c>
      <c r="G206" s="21" t="n">
        <v>2.2213757E10</v>
      </c>
      <c r="H206" s="22" t="n">
        <f>5230000</f>
        <v>5230000.0</v>
      </c>
    </row>
    <row r="207" spans="1:8" ht="24.9" customHeight="1">
      <c r="A207" s="57"/>
      <c r="B207" s="59"/>
      <c r="C207" s="39"/>
      <c r="D207" s="24" t="s">
        <v>18</v>
      </c>
      <c r="E207" s="25" t="n">
        <v>5262.0</v>
      </c>
      <c r="F207" s="26" t="n">
        <f>1</f>
        <v>1.0</v>
      </c>
      <c r="G207" s="25" t="n">
        <v>2.53281875E10</v>
      </c>
      <c r="H207" s="26" t="n">
        <f>5230000</f>
        <v>5230000.0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30.0</v>
      </c>
      <c r="F249" s="22" t="n">
        <f>30</f>
        <v>30.0</v>
      </c>
      <c r="G249" s="21" t="n">
        <v>5.362632E8</v>
      </c>
      <c r="H249" s="22" t="n">
        <f>536263200</f>
        <v>5.362632E8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30.0</v>
      </c>
      <c r="F251" s="26" t="n">
        <f>30</f>
        <v>30.0</v>
      </c>
      <c r="G251" s="25" t="n">
        <v>5.362632E8</v>
      </c>
      <c r="H251" s="26" t="n">
        <f>536263200</f>
        <v>5.362632E8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46309.0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46309.0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4094</f>
        <v>4094.0</v>
      </c>
      <c r="E12" s="35" t="n">
        <f>2935</f>
        <v>2935.0</v>
      </c>
      <c r="F12" s="17" t="n">
        <f>1811</f>
        <v>1811.0</v>
      </c>
      <c r="G12" s="35" t="n">
        <f>1167</f>
        <v>1167.0</v>
      </c>
      <c r="H12" s="17" t="n">
        <f>5905</f>
        <v>5905.0</v>
      </c>
      <c r="I12" s="35" t="n">
        <f>4102</f>
        <v>4102.0</v>
      </c>
      <c r="J12" s="17" t="n">
        <f>1875782250</f>
        <v>1.87578225E9</v>
      </c>
      <c r="K12" s="35" t="n">
        <f>1354241250</f>
        <v>1.35424125E9</v>
      </c>
      <c r="L12" s="17" t="n">
        <f>1813032680</f>
        <v>1.81303268E9</v>
      </c>
      <c r="M12" s="35" t="n">
        <f>1588727680</f>
        <v>1.58872768E9</v>
      </c>
      <c r="N12" s="17" t="n">
        <f>3688814930</f>
        <v>3.68881493E9</v>
      </c>
      <c r="O12" s="35" t="n">
        <f>2942968930</f>
        <v>2.94296893E9</v>
      </c>
    </row>
    <row r="13" spans="1:15" ht="24.9" customHeight="1">
      <c r="A13" s="38"/>
      <c r="B13" s="62"/>
      <c r="C13" s="20" t="s">
        <v>16</v>
      </c>
      <c r="D13" s="21" t="n">
        <f>4899</f>
        <v>4899.0</v>
      </c>
      <c r="E13" s="36" t="n">
        <f>2527</f>
        <v>2527.0</v>
      </c>
      <c r="F13" s="21" t="n">
        <f>3343</f>
        <v>3343.0</v>
      </c>
      <c r="G13" s="36" t="n">
        <f>2152</f>
        <v>2152.0</v>
      </c>
      <c r="H13" s="21" t="n">
        <f>8242</f>
        <v>8242.0</v>
      </c>
      <c r="I13" s="36" t="n">
        <f>4679</f>
        <v>4679.0</v>
      </c>
      <c r="J13" s="21" t="n">
        <f>2101826800</f>
        <v>2.1018268E9</v>
      </c>
      <c r="K13" s="36" t="n">
        <f>1452768800</f>
        <v>1.4527688E9</v>
      </c>
      <c r="L13" s="21" t="n">
        <f>3578248330</f>
        <v>3.57824833E9</v>
      </c>
      <c r="M13" s="36" t="n">
        <f>3173120330</f>
        <v>3.17312033E9</v>
      </c>
      <c r="N13" s="21" t="n">
        <f>5680075130</f>
        <v>5.68007513E9</v>
      </c>
      <c r="O13" s="36" t="n">
        <f>4625889130</f>
        <v>4.62588913E9</v>
      </c>
    </row>
    <row r="14" spans="1:15" ht="24.9" customHeight="1">
      <c r="A14" s="38"/>
      <c r="B14" s="62"/>
      <c r="C14" s="20" t="s">
        <v>17</v>
      </c>
      <c r="D14" s="21" t="n">
        <f>9204</f>
        <v>9204.0</v>
      </c>
      <c r="E14" s="36" t="n">
        <f>6152</f>
        <v>6152.0</v>
      </c>
      <c r="F14" s="21" t="n">
        <f>6198</f>
        <v>6198.0</v>
      </c>
      <c r="G14" s="36" t="n">
        <f>3486</f>
        <v>3486.0</v>
      </c>
      <c r="H14" s="21" t="n">
        <f>15402</f>
        <v>15402.0</v>
      </c>
      <c r="I14" s="36" t="n">
        <f>9638</f>
        <v>9638.0</v>
      </c>
      <c r="J14" s="21" t="n">
        <f>6938649700</f>
        <v>6.9386497E9</v>
      </c>
      <c r="K14" s="36" t="n">
        <f>5564945700</f>
        <v>5.5649457E9</v>
      </c>
      <c r="L14" s="21" t="n">
        <f>6932407510</f>
        <v>6.93240751E9</v>
      </c>
      <c r="M14" s="36" t="n">
        <f>5681168510</f>
        <v>5.68116851E9</v>
      </c>
      <c r="N14" s="21" t="n">
        <f>13871057210</f>
        <v>1.387105721E10</v>
      </c>
      <c r="O14" s="36" t="n">
        <f>11246114210</f>
        <v>1.124611421E10</v>
      </c>
    </row>
    <row r="15" spans="1:15" ht="24.9" customHeight="1">
      <c r="A15" s="38"/>
      <c r="B15" s="62"/>
      <c r="C15" s="24" t="s">
        <v>18</v>
      </c>
      <c r="D15" s="25" t="n">
        <f>18197</f>
        <v>18197.0</v>
      </c>
      <c r="E15" s="37" t="n">
        <f>11614</f>
        <v>11614.0</v>
      </c>
      <c r="F15" s="25" t="n">
        <f>11352</f>
        <v>11352.0</v>
      </c>
      <c r="G15" s="37" t="n">
        <f>6805</f>
        <v>6805.0</v>
      </c>
      <c r="H15" s="25" t="n">
        <f>29549</f>
        <v>29549.0</v>
      </c>
      <c r="I15" s="37" t="n">
        <f>18419</f>
        <v>18419.0</v>
      </c>
      <c r="J15" s="25" t="n">
        <f>10916258750</f>
        <v>1.091625875E10</v>
      </c>
      <c r="K15" s="37" t="n">
        <f>8371955750</f>
        <v>8.37195575E9</v>
      </c>
      <c r="L15" s="25" t="n">
        <f>12323688520</f>
        <v>1.232368852E10</v>
      </c>
      <c r="M15" s="37" t="n">
        <f>10443016520</f>
        <v>1.044301652E10</v>
      </c>
      <c r="N15" s="25" t="n">
        <f>23239947270</f>
        <v>2.323994727E10</v>
      </c>
      <c r="O15" s="37" t="n">
        <f>18814972270</f>
        <v>1.881497227E10</v>
      </c>
    </row>
    <row r="16" spans="1:15" ht="24.9" customHeight="1">
      <c r="A16" s="38"/>
      <c r="B16" s="61" t="s">
        <v>105</v>
      </c>
      <c r="C16" s="16" t="s">
        <v>15</v>
      </c>
      <c r="D16" s="17" t="n">
        <f>5589</f>
        <v>5589.0</v>
      </c>
      <c r="E16" s="35" t="n">
        <f>840</f>
        <v>840.0</v>
      </c>
      <c r="F16" s="17" t="n">
        <f>4428</f>
        <v>4428.0</v>
      </c>
      <c r="G16" s="35" t="n">
        <f>410</f>
        <v>410.0</v>
      </c>
      <c r="H16" s="17" t="n">
        <f>10017</f>
        <v>10017.0</v>
      </c>
      <c r="I16" s="35" t="n">
        <f>1250</f>
        <v>1250.0</v>
      </c>
      <c r="J16" s="17" t="n">
        <f>183052570</f>
        <v>1.8305257E8</v>
      </c>
      <c r="K16" s="35" t="n">
        <f>20438270</f>
        <v>2.043827E7</v>
      </c>
      <c r="L16" s="17" t="n">
        <f>127244750</f>
        <v>1.2724475E8</v>
      </c>
      <c r="M16" s="35" t="n">
        <f>1052350</f>
        <v>1052350.0</v>
      </c>
      <c r="N16" s="17" t="n">
        <f>310297320</f>
        <v>3.1029732E8</v>
      </c>
      <c r="O16" s="35" t="n">
        <f>21490620</f>
        <v>2.149062E7</v>
      </c>
    </row>
    <row r="17" spans="1:15" ht="24.9" customHeight="1">
      <c r="A17" s="38"/>
      <c r="B17" s="62"/>
      <c r="C17" s="20" t="s">
        <v>16</v>
      </c>
      <c r="D17" s="21" t="n">
        <f>7185</f>
        <v>7185.0</v>
      </c>
      <c r="E17" s="36" t="n">
        <f>480</f>
        <v>480.0</v>
      </c>
      <c r="F17" s="21" t="n">
        <f>4984</f>
        <v>4984.0</v>
      </c>
      <c r="G17" s="36" t="n">
        <f>480</f>
        <v>480.0</v>
      </c>
      <c r="H17" s="21" t="n">
        <f>12169</f>
        <v>12169.0</v>
      </c>
      <c r="I17" s="36" t="n">
        <f>960</f>
        <v>960.0</v>
      </c>
      <c r="J17" s="21" t="n">
        <f>120378920</f>
        <v>1.2037892E8</v>
      </c>
      <c r="K17" s="36" t="n">
        <f>2953720</f>
        <v>2953720.0</v>
      </c>
      <c r="L17" s="21" t="n">
        <f>69632990</f>
        <v>6.963299E7</v>
      </c>
      <c r="M17" s="36" t="n">
        <f>1837290</f>
        <v>1837290.0</v>
      </c>
      <c r="N17" s="21" t="n">
        <f>190011910</f>
        <v>1.9001191E8</v>
      </c>
      <c r="O17" s="36" t="n">
        <f>4791010</f>
        <v>4791010.0</v>
      </c>
    </row>
    <row r="18" spans="1:15" ht="24.9" customHeight="1">
      <c r="A18" s="38"/>
      <c r="B18" s="62"/>
      <c r="C18" s="20" t="s">
        <v>17</v>
      </c>
      <c r="D18" s="21" t="n">
        <f>8898</f>
        <v>8898.0</v>
      </c>
      <c r="E18" s="36" t="n">
        <f>780</f>
        <v>780.0</v>
      </c>
      <c r="F18" s="21" t="n">
        <f>5363</f>
        <v>5363.0</v>
      </c>
      <c r="G18" s="36" t="n">
        <f>330</f>
        <v>330.0</v>
      </c>
      <c r="H18" s="21" t="n">
        <f>14261</f>
        <v>14261.0</v>
      </c>
      <c r="I18" s="36" t="n">
        <f>1110</f>
        <v>1110.0</v>
      </c>
      <c r="J18" s="21" t="n">
        <f>167226850</f>
        <v>1.6722685E8</v>
      </c>
      <c r="K18" s="36" t="n">
        <f>6905950</f>
        <v>6905950.0</v>
      </c>
      <c r="L18" s="21" t="n">
        <f>122552670</f>
        <v>1.2255267E8</v>
      </c>
      <c r="M18" s="36" t="n">
        <f>3866370</f>
        <v>3866370.0</v>
      </c>
      <c r="N18" s="21" t="n">
        <f>289779520</f>
        <v>2.8977952E8</v>
      </c>
      <c r="O18" s="36" t="n">
        <f>10772320</f>
        <v>1.077232E7</v>
      </c>
    </row>
    <row r="19" spans="1:15" ht="24.9" customHeight="1">
      <c r="A19" s="38"/>
      <c r="B19" s="62"/>
      <c r="C19" s="24" t="s">
        <v>18</v>
      </c>
      <c r="D19" s="25" t="n">
        <f>21672</f>
        <v>21672.0</v>
      </c>
      <c r="E19" s="37" t="n">
        <f>2100</f>
        <v>2100.0</v>
      </c>
      <c r="F19" s="25" t="n">
        <f>14775</f>
        <v>14775.0</v>
      </c>
      <c r="G19" s="37" t="n">
        <f>1220</f>
        <v>1220.0</v>
      </c>
      <c r="H19" s="25" t="n">
        <f>36447</f>
        <v>36447.0</v>
      </c>
      <c r="I19" s="37" t="n">
        <f>3320</f>
        <v>3320.0</v>
      </c>
      <c r="J19" s="25" t="n">
        <f>470658340</f>
        <v>4.7065834E8</v>
      </c>
      <c r="K19" s="37" t="n">
        <f>30297940</f>
        <v>3.029794E7</v>
      </c>
      <c r="L19" s="25" t="n">
        <f>319430410</f>
        <v>3.1943041E8</v>
      </c>
      <c r="M19" s="37" t="n">
        <f>6756010</f>
        <v>6756010.0</v>
      </c>
      <c r="N19" s="25" t="n">
        <f>790088750</f>
        <v>7.9008875E8</v>
      </c>
      <c r="O19" s="37" t="n">
        <f>37053950</f>
        <v>3.705395E7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700</f>
        <v>700.0</v>
      </c>
      <c r="E21" s="36" t="n">
        <f>700</f>
        <v>700.0</v>
      </c>
      <c r="F21" s="21" t="n">
        <f>15</f>
        <v>15.0</v>
      </c>
      <c r="G21" s="36" t="n">
        <f>0</f>
        <v>0.0</v>
      </c>
      <c r="H21" s="21" t="n">
        <f>715</f>
        <v>715.0</v>
      </c>
      <c r="I21" s="36" t="n">
        <f>700</f>
        <v>700.0</v>
      </c>
      <c r="J21" s="21" t="n">
        <f>331500000</f>
        <v>3.315E8</v>
      </c>
      <c r="K21" s="36" t="n">
        <f>331500000</f>
        <v>3.315E8</v>
      </c>
      <c r="L21" s="21" t="n">
        <f>5025000</f>
        <v>5025000.0</v>
      </c>
      <c r="M21" s="36" t="n">
        <f>0</f>
        <v>0.0</v>
      </c>
      <c r="N21" s="21" t="n">
        <f>336525000</f>
        <v>3.36525E8</v>
      </c>
      <c r="O21" s="36" t="n">
        <f>331500000</f>
        <v>3.315E8</v>
      </c>
    </row>
    <row r="22" spans="1:15" ht="24.9" customHeight="1">
      <c r="A22" s="38"/>
      <c r="B22" s="62"/>
      <c r="C22" s="20" t="s">
        <v>17</v>
      </c>
      <c r="D22" s="21" t="n">
        <f>9075</f>
        <v>9075.0</v>
      </c>
      <c r="E22" s="36" t="n">
        <f>9075</f>
        <v>9075.0</v>
      </c>
      <c r="F22" s="21" t="n">
        <f>963</f>
        <v>963.0</v>
      </c>
      <c r="G22" s="36" t="n">
        <f>963</f>
        <v>963.0</v>
      </c>
      <c r="H22" s="21" t="n">
        <f>10038</f>
        <v>10038.0</v>
      </c>
      <c r="I22" s="36" t="n">
        <f>10038</f>
        <v>10038.0</v>
      </c>
      <c r="J22" s="21" t="n">
        <f>3016773200</f>
        <v>3.0167732E9</v>
      </c>
      <c r="K22" s="36" t="n">
        <f>3016773200</f>
        <v>3.0167732E9</v>
      </c>
      <c r="L22" s="21" t="n">
        <f>1365224376</f>
        <v>1.365224376E9</v>
      </c>
      <c r="M22" s="36" t="n">
        <f>1365224376</f>
        <v>1.365224376E9</v>
      </c>
      <c r="N22" s="21" t="n">
        <f>4381997576</f>
        <v>4.381997576E9</v>
      </c>
      <c r="O22" s="36" t="n">
        <f>4381997576</f>
        <v>4.381997576E9</v>
      </c>
    </row>
    <row r="23" spans="1:15" ht="24.9" customHeight="1">
      <c r="A23" s="38"/>
      <c r="B23" s="62"/>
      <c r="C23" s="24" t="s">
        <v>18</v>
      </c>
      <c r="D23" s="25" t="n">
        <f>9775</f>
        <v>9775.0</v>
      </c>
      <c r="E23" s="37" t="n">
        <f>9775</f>
        <v>9775.0</v>
      </c>
      <c r="F23" s="25" t="n">
        <f>978</f>
        <v>978.0</v>
      </c>
      <c r="G23" s="37" t="n">
        <f>963</f>
        <v>963.0</v>
      </c>
      <c r="H23" s="25" t="n">
        <f>10753</f>
        <v>10753.0</v>
      </c>
      <c r="I23" s="37" t="n">
        <f>10738</f>
        <v>10738.0</v>
      </c>
      <c r="J23" s="25" t="n">
        <f>3348273200</f>
        <v>3.3482732E9</v>
      </c>
      <c r="K23" s="37" t="n">
        <f>3348273200</f>
        <v>3.3482732E9</v>
      </c>
      <c r="L23" s="25" t="n">
        <f>1370249376</f>
        <v>1.370249376E9</v>
      </c>
      <c r="M23" s="37" t="n">
        <f>1365224376</f>
        <v>1.365224376E9</v>
      </c>
      <c r="N23" s="25" t="n">
        <f>4718522576</f>
        <v>4.718522576E9</v>
      </c>
      <c r="O23" s="37" t="n">
        <f>4713497576</f>
        <v>4.713497576E9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30</f>
        <v>30.0</v>
      </c>
      <c r="E37" s="22" t="n">
        <f>0</f>
        <v>0.0</v>
      </c>
      <c r="F37" s="21" t="n">
        <f>101</f>
        <v>101.0</v>
      </c>
      <c r="G37" s="22" t="n">
        <f>0</f>
        <v>0.0</v>
      </c>
      <c r="H37" s="21" t="n">
        <f>131</f>
        <v>131.0</v>
      </c>
      <c r="I37" s="22" t="n">
        <f>0</f>
        <v>0.0</v>
      </c>
      <c r="J37" s="21" t="n">
        <f>2380000</f>
        <v>2380000.0</v>
      </c>
      <c r="K37" s="22" t="n">
        <f>0</f>
        <v>0.0</v>
      </c>
      <c r="L37" s="21" t="n">
        <f>6070000</f>
        <v>6070000.0</v>
      </c>
      <c r="M37" s="22" t="n">
        <f>0</f>
        <v>0.0</v>
      </c>
      <c r="N37" s="21" t="n">
        <f>8450000</f>
        <v>8450000.0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109</f>
        <v>109.0</v>
      </c>
      <c r="E38" s="36" t="n">
        <f>0</f>
        <v>0.0</v>
      </c>
      <c r="F38" s="21" t="n">
        <f>212</f>
        <v>212.0</v>
      </c>
      <c r="G38" s="36" t="n">
        <f>0</f>
        <v>0.0</v>
      </c>
      <c r="H38" s="21" t="n">
        <f>321</f>
        <v>321.0</v>
      </c>
      <c r="I38" s="36" t="n">
        <f>0</f>
        <v>0.0</v>
      </c>
      <c r="J38" s="21" t="n">
        <f>14350000</f>
        <v>1.435E7</v>
      </c>
      <c r="K38" s="36" t="n">
        <f>0</f>
        <v>0.0</v>
      </c>
      <c r="L38" s="21" t="n">
        <f>16450000</f>
        <v>1.645E7</v>
      </c>
      <c r="M38" s="36" t="n">
        <f>0</f>
        <v>0.0</v>
      </c>
      <c r="N38" s="21" t="n">
        <f>30800000</f>
        <v>3.08E7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139</f>
        <v>139.0</v>
      </c>
      <c r="E39" s="37" t="n">
        <f>0</f>
        <v>0.0</v>
      </c>
      <c r="F39" s="25" t="n">
        <f>313</f>
        <v>313.0</v>
      </c>
      <c r="G39" s="37" t="n">
        <f>0</f>
        <v>0.0</v>
      </c>
      <c r="H39" s="25" t="n">
        <f>452</f>
        <v>452.0</v>
      </c>
      <c r="I39" s="37" t="n">
        <f>0</f>
        <v>0.0</v>
      </c>
      <c r="J39" s="25" t="n">
        <f>16730000</f>
        <v>1.673E7</v>
      </c>
      <c r="K39" s="37" t="n">
        <f>0</f>
        <v>0.0</v>
      </c>
      <c r="L39" s="25" t="n">
        <f>22520000</f>
        <v>2.252E7</v>
      </c>
      <c r="M39" s="37" t="n">
        <f>0</f>
        <v>0.0</v>
      </c>
      <c r="N39" s="25" t="n">
        <f>39250000</f>
        <v>3.925E7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721</f>
        <v>721.0</v>
      </c>
      <c r="E41" s="36" t="n">
        <f>0</f>
        <v>0.0</v>
      </c>
      <c r="F41" s="21" t="n">
        <f>437</f>
        <v>437.0</v>
      </c>
      <c r="G41" s="36" t="n">
        <f>0</f>
        <v>0.0</v>
      </c>
      <c r="H41" s="21" t="n">
        <f>1158</f>
        <v>1158.0</v>
      </c>
      <c r="I41" s="36" t="n">
        <f>0</f>
        <v>0.0</v>
      </c>
      <c r="J41" s="21" t="n">
        <f>9651622</f>
        <v>9651622.0</v>
      </c>
      <c r="K41" s="36" t="n">
        <f>0</f>
        <v>0.0</v>
      </c>
      <c r="L41" s="21" t="n">
        <f>6138349</f>
        <v>6138349.0</v>
      </c>
      <c r="M41" s="36" t="n">
        <f>0</f>
        <v>0.0</v>
      </c>
      <c r="N41" s="21" t="n">
        <f>15789971</f>
        <v>1.5789971E7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960</f>
        <v>960.0</v>
      </c>
      <c r="E42" s="36" t="n">
        <f>0</f>
        <v>0.0</v>
      </c>
      <c r="F42" s="21" t="n">
        <f>307</f>
        <v>307.0</v>
      </c>
      <c r="G42" s="36" t="n">
        <f>0</f>
        <v>0.0</v>
      </c>
      <c r="H42" s="21" t="n">
        <f>1267</f>
        <v>1267.0</v>
      </c>
      <c r="I42" s="36" t="n">
        <f>0</f>
        <v>0.0</v>
      </c>
      <c r="J42" s="21" t="n">
        <f>57391990</f>
        <v>5.739199E7</v>
      </c>
      <c r="K42" s="36" t="n">
        <f>0</f>
        <v>0.0</v>
      </c>
      <c r="L42" s="21" t="n">
        <f>15052465</f>
        <v>1.5052465E7</v>
      </c>
      <c r="M42" s="36" t="n">
        <f>0</f>
        <v>0.0</v>
      </c>
      <c r="N42" s="21" t="n">
        <f>72444455</f>
        <v>7.2444455E7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1681</f>
        <v>1681.0</v>
      </c>
      <c r="E43" s="37" t="n">
        <f>0</f>
        <v>0.0</v>
      </c>
      <c r="F43" s="25" t="n">
        <f>744</f>
        <v>744.0</v>
      </c>
      <c r="G43" s="37" t="n">
        <f>0</f>
        <v>0.0</v>
      </c>
      <c r="H43" s="25" t="n">
        <f>2425</f>
        <v>2425.0</v>
      </c>
      <c r="I43" s="37" t="n">
        <f>0</f>
        <v>0.0</v>
      </c>
      <c r="J43" s="25" t="n">
        <f>67043612</f>
        <v>6.7043612E7</v>
      </c>
      <c r="K43" s="37" t="n">
        <f>0</f>
        <v>0.0</v>
      </c>
      <c r="L43" s="25" t="n">
        <f>21190814</f>
        <v>2.1190814E7</v>
      </c>
      <c r="M43" s="37" t="n">
        <f>0</f>
        <v>0.0</v>
      </c>
      <c r="N43" s="25" t="n">
        <f>88234426</f>
        <v>8.8234426E7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